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ena Hincapie\Desktop\"/>
    </mc:Choice>
  </mc:AlternateContent>
  <xr:revisionPtr revIDLastSave="0" documentId="8_{52A4FC3C-433E-42DD-B7C4-5600AA9348EB}" xr6:coauthVersionLast="47" xr6:coauthVersionMax="47" xr10:uidLastSave="{00000000-0000-0000-0000-000000000000}"/>
  <bookViews>
    <workbookView xWindow="-110" yWindow="-110" windowWidth="19420" windowHeight="10420" xr2:uid="{D294FAC5-258E-4278-BF16-E1646399AEFD}"/>
  </bookViews>
  <sheets>
    <sheet name="Itinerario (2)" sheetId="1" r:id="rId1"/>
  </sheets>
  <externalReferences>
    <externalReference r:id="rId2"/>
  </externalReferences>
  <definedNames>
    <definedName name="_xlnm._FilterDatabase" localSheetId="0" hidden="1">'Itinerario (2)'!$A$1:$Q$454</definedName>
    <definedName name="Categoria">[1]Categories!$B$3:$B$8</definedName>
    <definedName name="MONEDAS">[1]Actividades!$R$4:$R$9</definedName>
    <definedName name="Todos">[1]Categories!$E$3:$F$71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4" i="1" l="1"/>
  <c r="D454" i="1"/>
  <c r="P453" i="1" a="1"/>
  <c r="P453" i="1" s="1"/>
  <c r="P452" i="1" s="1"/>
  <c r="O453" i="1" a="1"/>
  <c r="O453" i="1" s="1"/>
  <c r="O452" i="1" s="1"/>
  <c r="D453" i="1"/>
  <c r="Q452" i="1"/>
  <c r="J452" i="1"/>
  <c r="F452" i="1"/>
  <c r="D452" i="1"/>
  <c r="D451" i="1"/>
  <c r="Q450" i="1"/>
  <c r="Q449" i="1" s="1"/>
  <c r="Q448" i="1" s="1"/>
  <c r="P450" i="1"/>
  <c r="P449" i="1" s="1"/>
  <c r="P448" i="1" s="1"/>
  <c r="O450" i="1"/>
  <c r="J450" i="1"/>
  <c r="J449" i="1" s="1"/>
  <c r="J448" i="1" s="1"/>
  <c r="F450" i="1"/>
  <c r="F449" i="1" s="1"/>
  <c r="F448" i="1" s="1"/>
  <c r="D450" i="1"/>
  <c r="D449" i="1"/>
  <c r="D448" i="1"/>
  <c r="D447" i="1"/>
  <c r="P446" i="1" a="1"/>
  <c r="P446" i="1" s="1"/>
  <c r="O446" i="1" a="1"/>
  <c r="O446" i="1" s="1"/>
  <c r="D446" i="1"/>
  <c r="O445" i="1" a="1"/>
  <c r="O445" i="1" s="1"/>
  <c r="D445" i="1"/>
  <c r="P444" i="1" a="1"/>
  <c r="P444" i="1" s="1"/>
  <c r="O444" i="1" a="1"/>
  <c r="O444" i="1" s="1"/>
  <c r="D444" i="1"/>
  <c r="O443" i="1" a="1"/>
  <c r="O443" i="1" s="1"/>
  <c r="D443" i="1"/>
  <c r="P442" i="1" a="1"/>
  <c r="P442" i="1" s="1"/>
  <c r="O442" i="1" a="1"/>
  <c r="O442" i="1" s="1"/>
  <c r="D442" i="1"/>
  <c r="P441" i="1" a="1"/>
  <c r="P441" i="1" s="1"/>
  <c r="O441" i="1" a="1"/>
  <c r="O441" i="1" s="1"/>
  <c r="D441" i="1"/>
  <c r="P440" i="1" a="1"/>
  <c r="P440" i="1" s="1"/>
  <c r="O440" i="1" a="1"/>
  <c r="O440" i="1" s="1"/>
  <c r="D440" i="1"/>
  <c r="P439" i="1" a="1"/>
  <c r="P439" i="1" s="1"/>
  <c r="O439" i="1" a="1"/>
  <c r="O439" i="1" s="1"/>
  <c r="D439" i="1"/>
  <c r="P438" i="1" a="1"/>
  <c r="P438" i="1" s="1"/>
  <c r="O438" i="1" a="1"/>
  <c r="O438" i="1" s="1"/>
  <c r="D438" i="1"/>
  <c r="O437" i="1" a="1"/>
  <c r="O437" i="1" s="1"/>
  <c r="D437" i="1"/>
  <c r="P436" i="1" a="1"/>
  <c r="P436" i="1" s="1"/>
  <c r="O436" i="1" a="1"/>
  <c r="O436" i="1" s="1"/>
  <c r="D436" i="1"/>
  <c r="P435" i="1" a="1"/>
  <c r="P435" i="1" s="1"/>
  <c r="O435" i="1" a="1"/>
  <c r="O435" i="1" s="1"/>
  <c r="D435" i="1"/>
  <c r="P434" i="1" a="1"/>
  <c r="P434" i="1" s="1"/>
  <c r="O434" i="1" a="1"/>
  <c r="O434" i="1" s="1"/>
  <c r="D434" i="1"/>
  <c r="Q433" i="1"/>
  <c r="J433" i="1"/>
  <c r="F433" i="1"/>
  <c r="D433" i="1"/>
  <c r="P432" i="1" a="1"/>
  <c r="P432" i="1" s="1"/>
  <c r="O432" i="1" a="1"/>
  <c r="O432" i="1" s="1"/>
  <c r="D432" i="1"/>
  <c r="O431" i="1" a="1"/>
  <c r="O431" i="1" s="1"/>
  <c r="D431" i="1"/>
  <c r="P430" i="1" a="1"/>
  <c r="P430" i="1" s="1"/>
  <c r="O430" i="1" a="1"/>
  <c r="O430" i="1" s="1"/>
  <c r="D430" i="1"/>
  <c r="O429" i="1" a="1"/>
  <c r="O429" i="1" s="1"/>
  <c r="N429" i="1"/>
  <c r="D429" i="1"/>
  <c r="P428" i="1" a="1"/>
  <c r="P428" i="1" s="1"/>
  <c r="O428" i="1" a="1"/>
  <c r="O428" i="1" s="1"/>
  <c r="D428" i="1"/>
  <c r="O427" i="1" a="1"/>
  <c r="O427" i="1" s="1"/>
  <c r="D427" i="1"/>
  <c r="P426" i="1" a="1"/>
  <c r="P426" i="1" s="1"/>
  <c r="O426" i="1" a="1"/>
  <c r="O426" i="1" s="1"/>
  <c r="D426" i="1"/>
  <c r="P425" i="1" a="1"/>
  <c r="P425" i="1" s="1"/>
  <c r="O425" i="1" a="1"/>
  <c r="O425" i="1" s="1"/>
  <c r="D425" i="1"/>
  <c r="P424" i="1" a="1"/>
  <c r="P424" i="1" s="1"/>
  <c r="O424" i="1" a="1"/>
  <c r="O424" i="1" s="1"/>
  <c r="D424" i="1"/>
  <c r="P423" i="1" a="1"/>
  <c r="P423" i="1" s="1"/>
  <c r="O423" i="1" a="1"/>
  <c r="O423" i="1" s="1"/>
  <c r="D423" i="1"/>
  <c r="P422" i="1" a="1"/>
  <c r="P422" i="1" s="1"/>
  <c r="O422" i="1" a="1"/>
  <c r="O422" i="1" s="1"/>
  <c r="D422" i="1"/>
  <c r="Q421" i="1"/>
  <c r="J421" i="1"/>
  <c r="F421" i="1"/>
  <c r="D421" i="1"/>
  <c r="P420" i="1" a="1"/>
  <c r="P420" i="1" s="1"/>
  <c r="O420" i="1" a="1"/>
  <c r="O420" i="1" s="1"/>
  <c r="D420" i="1"/>
  <c r="P419" i="1" a="1"/>
  <c r="P419" i="1" s="1"/>
  <c r="O419" i="1" a="1"/>
  <c r="O419" i="1" s="1"/>
  <c r="D419" i="1"/>
  <c r="P418" i="1" a="1"/>
  <c r="P418" i="1" s="1"/>
  <c r="O418" i="1" a="1"/>
  <c r="O418" i="1" s="1"/>
  <c r="D418" i="1"/>
  <c r="P417" i="1" a="1"/>
  <c r="P417" i="1" s="1"/>
  <c r="O417" i="1" a="1"/>
  <c r="O417" i="1" s="1"/>
  <c r="D417" i="1"/>
  <c r="P416" i="1" a="1"/>
  <c r="P416" i="1" s="1"/>
  <c r="O416" i="1" a="1"/>
  <c r="O416" i="1" s="1"/>
  <c r="D416" i="1"/>
  <c r="P415" i="1" a="1"/>
  <c r="P415" i="1" s="1"/>
  <c r="O415" i="1" a="1"/>
  <c r="O415" i="1" s="1"/>
  <c r="D415" i="1"/>
  <c r="P414" i="1" a="1"/>
  <c r="P414" i="1" s="1"/>
  <c r="O414" i="1" a="1"/>
  <c r="O414" i="1" s="1"/>
  <c r="D414" i="1"/>
  <c r="P413" i="1" a="1"/>
  <c r="P413" i="1" s="1"/>
  <c r="O413" i="1" a="1"/>
  <c r="O413" i="1" s="1"/>
  <c r="D413" i="1"/>
  <c r="P412" i="1" a="1"/>
  <c r="P412" i="1" s="1"/>
  <c r="O412" i="1" a="1"/>
  <c r="O412" i="1" s="1"/>
  <c r="D412" i="1"/>
  <c r="O411" i="1" a="1"/>
  <c r="O411" i="1" s="1"/>
  <c r="D411" i="1"/>
  <c r="P410" i="1" a="1"/>
  <c r="P410" i="1" s="1"/>
  <c r="O410" i="1" a="1"/>
  <c r="O410" i="1" s="1"/>
  <c r="D410" i="1"/>
  <c r="P409" i="1" a="1"/>
  <c r="P409" i="1" s="1"/>
  <c r="O409" i="1" a="1"/>
  <c r="O409" i="1" s="1"/>
  <c r="D409" i="1"/>
  <c r="P408" i="1" a="1"/>
  <c r="P408" i="1" s="1"/>
  <c r="O408" i="1" a="1"/>
  <c r="O408" i="1" s="1"/>
  <c r="D408" i="1"/>
  <c r="P407" i="1" a="1"/>
  <c r="P407" i="1" s="1"/>
  <c r="O407" i="1" a="1"/>
  <c r="O407" i="1" s="1"/>
  <c r="D407" i="1"/>
  <c r="Q406" i="1"/>
  <c r="Q388" i="1" s="1"/>
  <c r="J406" i="1"/>
  <c r="F406" i="1"/>
  <c r="D406" i="1"/>
  <c r="P405" i="1" a="1"/>
  <c r="P405" i="1" s="1"/>
  <c r="O405" i="1" a="1"/>
  <c r="O405" i="1" s="1"/>
  <c r="D405" i="1"/>
  <c r="P404" i="1" a="1"/>
  <c r="P404" i="1" s="1"/>
  <c r="O404" i="1" a="1"/>
  <c r="O404" i="1" s="1"/>
  <c r="D404" i="1"/>
  <c r="P403" i="1" a="1"/>
  <c r="P403" i="1" s="1"/>
  <c r="O403" i="1" a="1"/>
  <c r="O403" i="1" s="1"/>
  <c r="D403" i="1"/>
  <c r="P402" i="1" a="1"/>
  <c r="P402" i="1" s="1"/>
  <c r="O402" i="1" a="1"/>
  <c r="O402" i="1" s="1"/>
  <c r="D402" i="1"/>
  <c r="P401" i="1" a="1"/>
  <c r="P401" i="1" s="1"/>
  <c r="O401" i="1" a="1"/>
  <c r="O401" i="1" s="1"/>
  <c r="D401" i="1"/>
  <c r="O400" i="1" a="1"/>
  <c r="O400" i="1" s="1"/>
  <c r="D400" i="1"/>
  <c r="P399" i="1" a="1"/>
  <c r="P399" i="1" s="1"/>
  <c r="O399" i="1" a="1"/>
  <c r="O399" i="1" s="1"/>
  <c r="D399" i="1"/>
  <c r="P398" i="1" a="1"/>
  <c r="P398" i="1" s="1"/>
  <c r="O398" i="1" a="1"/>
  <c r="O398" i="1" s="1"/>
  <c r="D398" i="1"/>
  <c r="D397" i="1"/>
  <c r="P396" i="1" a="1"/>
  <c r="P396" i="1" s="1"/>
  <c r="O396" i="1" a="1"/>
  <c r="O396" i="1" s="1"/>
  <c r="D396" i="1"/>
  <c r="P395" i="1" a="1"/>
  <c r="P395" i="1" s="1"/>
  <c r="O395" i="1" a="1"/>
  <c r="O395" i="1" s="1"/>
  <c r="D395" i="1"/>
  <c r="P394" i="1" a="1"/>
  <c r="P394" i="1" s="1"/>
  <c r="O394" i="1" a="1"/>
  <c r="O394" i="1" s="1"/>
  <c r="D394" i="1"/>
  <c r="Q393" i="1"/>
  <c r="J393" i="1"/>
  <c r="F393" i="1"/>
  <c r="D393" i="1"/>
  <c r="P392" i="1" a="1"/>
  <c r="P392" i="1" s="1"/>
  <c r="O392" i="1" a="1"/>
  <c r="O392" i="1" s="1"/>
  <c r="D392" i="1"/>
  <c r="O391" i="1" a="1"/>
  <c r="O391" i="1" s="1"/>
  <c r="D391" i="1"/>
  <c r="P390" i="1" a="1"/>
  <c r="P390" i="1" s="1"/>
  <c r="O390" i="1" a="1"/>
  <c r="O390" i="1" s="1"/>
  <c r="D390" i="1"/>
  <c r="Q389" i="1"/>
  <c r="J389" i="1"/>
  <c r="F389" i="1"/>
  <c r="F388" i="1" s="1"/>
  <c r="D389" i="1"/>
  <c r="D388" i="1"/>
  <c r="D387" i="1"/>
  <c r="O386" i="1" a="1"/>
  <c r="O386" i="1" s="1"/>
  <c r="D386" i="1"/>
  <c r="P385" i="1" a="1"/>
  <c r="P385" i="1" s="1"/>
  <c r="O385" i="1" a="1"/>
  <c r="O385" i="1" s="1"/>
  <c r="D385" i="1"/>
  <c r="P384" i="1" a="1"/>
  <c r="P384" i="1" s="1"/>
  <c r="O384" i="1" a="1"/>
  <c r="O384" i="1" s="1"/>
  <c r="D384" i="1"/>
  <c r="P383" i="1" a="1"/>
  <c r="P383" i="1" s="1"/>
  <c r="O383" i="1" a="1"/>
  <c r="O383" i="1" s="1"/>
  <c r="D383" i="1"/>
  <c r="P382" i="1" a="1"/>
  <c r="P382" i="1" s="1"/>
  <c r="O382" i="1" a="1"/>
  <c r="O382" i="1" s="1"/>
  <c r="D382" i="1"/>
  <c r="P381" i="1" a="1"/>
  <c r="P381" i="1" s="1"/>
  <c r="O381" i="1" a="1"/>
  <c r="O381" i="1" s="1"/>
  <c r="D381" i="1"/>
  <c r="P380" i="1" a="1"/>
  <c r="P380" i="1" s="1"/>
  <c r="O380" i="1" a="1"/>
  <c r="O380" i="1" s="1"/>
  <c r="D380" i="1"/>
  <c r="P379" i="1" a="1"/>
  <c r="P379" i="1" s="1"/>
  <c r="O379" i="1" a="1"/>
  <c r="O379" i="1" s="1"/>
  <c r="D379" i="1"/>
  <c r="P378" i="1" a="1"/>
  <c r="P378" i="1" s="1"/>
  <c r="O378" i="1" a="1"/>
  <c r="O378" i="1" s="1"/>
  <c r="D378" i="1"/>
  <c r="P377" i="1" a="1"/>
  <c r="P377" i="1" s="1"/>
  <c r="O377" i="1" a="1"/>
  <c r="O377" i="1" s="1"/>
  <c r="D377" i="1"/>
  <c r="P376" i="1" a="1"/>
  <c r="P376" i="1" s="1"/>
  <c r="O376" i="1" a="1"/>
  <c r="O376" i="1" s="1"/>
  <c r="D376" i="1"/>
  <c r="D375" i="1"/>
  <c r="P374" i="1" a="1"/>
  <c r="P374" i="1" s="1"/>
  <c r="O374" i="1" a="1"/>
  <c r="O374" i="1" s="1"/>
  <c r="D374" i="1"/>
  <c r="Q373" i="1"/>
  <c r="Q372" i="1" s="1"/>
  <c r="J373" i="1"/>
  <c r="F373" i="1"/>
  <c r="F372" i="1" s="1"/>
  <c r="F371" i="1" s="1"/>
  <c r="D373" i="1"/>
  <c r="J372" i="1"/>
  <c r="D372" i="1"/>
  <c r="D371" i="1"/>
  <c r="D370" i="1"/>
  <c r="P369" i="1" a="1"/>
  <c r="P369" i="1" s="1"/>
  <c r="O369" i="1" a="1"/>
  <c r="O369" i="1" s="1"/>
  <c r="D369" i="1"/>
  <c r="D368" i="1"/>
  <c r="P367" i="1" a="1"/>
  <c r="P367" i="1" s="1"/>
  <c r="O367" i="1" a="1"/>
  <c r="O367" i="1" s="1"/>
  <c r="D367" i="1"/>
  <c r="Q366" i="1"/>
  <c r="J366" i="1"/>
  <c r="F366" i="1"/>
  <c r="D366" i="1"/>
  <c r="P365" i="1" a="1"/>
  <c r="P365" i="1" s="1"/>
  <c r="O365" i="1" a="1"/>
  <c r="O365" i="1" s="1"/>
  <c r="D365" i="1"/>
  <c r="O364" i="1" a="1"/>
  <c r="O364" i="1" s="1"/>
  <c r="D364" i="1"/>
  <c r="O363" i="1" a="1"/>
  <c r="O363" i="1" s="1"/>
  <c r="D363" i="1"/>
  <c r="P362" i="1" a="1"/>
  <c r="P362" i="1" s="1"/>
  <c r="O362" i="1" a="1"/>
  <c r="O362" i="1" s="1"/>
  <c r="D362" i="1"/>
  <c r="P361" i="1" a="1"/>
  <c r="P361" i="1" s="1"/>
  <c r="O361" i="1" a="1"/>
  <c r="O361" i="1" s="1"/>
  <c r="D361" i="1"/>
  <c r="P360" i="1" a="1"/>
  <c r="P360" i="1" s="1"/>
  <c r="O360" i="1" a="1"/>
  <c r="O360" i="1" s="1"/>
  <c r="D360" i="1"/>
  <c r="P359" i="1" a="1"/>
  <c r="P359" i="1" s="1"/>
  <c r="O359" i="1" a="1"/>
  <c r="O359" i="1" s="1"/>
  <c r="D359" i="1"/>
  <c r="P358" i="1" a="1"/>
  <c r="P358" i="1" s="1"/>
  <c r="O358" i="1" a="1"/>
  <c r="O358" i="1" s="1"/>
  <c r="D358" i="1"/>
  <c r="P357" i="1" a="1"/>
  <c r="P357" i="1" s="1"/>
  <c r="O357" i="1" a="1"/>
  <c r="O357" i="1" s="1"/>
  <c r="D357" i="1"/>
  <c r="P356" i="1" a="1"/>
  <c r="P356" i="1" s="1"/>
  <c r="O356" i="1" a="1"/>
  <c r="O356" i="1" s="1"/>
  <c r="D356" i="1"/>
  <c r="P355" i="1" a="1"/>
  <c r="P355" i="1" s="1"/>
  <c r="O355" i="1" a="1"/>
  <c r="O355" i="1" s="1"/>
  <c r="D355" i="1"/>
  <c r="N354" i="1"/>
  <c r="D354" i="1"/>
  <c r="D353" i="1"/>
  <c r="P352" i="1" a="1"/>
  <c r="P352" i="1" s="1"/>
  <c r="O352" i="1" a="1"/>
  <c r="O352" i="1" s="1"/>
  <c r="D352" i="1"/>
  <c r="P351" i="1" a="1"/>
  <c r="P351" i="1" s="1"/>
  <c r="O351" i="1" a="1"/>
  <c r="O351" i="1" s="1"/>
  <c r="D351" i="1"/>
  <c r="Q350" i="1"/>
  <c r="J350" i="1"/>
  <c r="F350" i="1"/>
  <c r="F334" i="1" s="1"/>
  <c r="D350" i="1"/>
  <c r="P349" i="1" a="1"/>
  <c r="P349" i="1" s="1"/>
  <c r="O349" i="1" a="1"/>
  <c r="O349" i="1" s="1"/>
  <c r="D349" i="1"/>
  <c r="P348" i="1" a="1"/>
  <c r="P348" i="1" s="1"/>
  <c r="O348" i="1" a="1"/>
  <c r="O348" i="1" s="1"/>
  <c r="D348" i="1"/>
  <c r="O347" i="1" a="1"/>
  <c r="O347" i="1" s="1"/>
  <c r="D347" i="1"/>
  <c r="P346" i="1" a="1"/>
  <c r="P346" i="1" s="1"/>
  <c r="O346" i="1" a="1"/>
  <c r="O346" i="1" s="1"/>
  <c r="D346" i="1"/>
  <c r="P345" i="1" a="1"/>
  <c r="P345" i="1" s="1"/>
  <c r="O345" i="1" a="1"/>
  <c r="O345" i="1" s="1"/>
  <c r="D345" i="1"/>
  <c r="O344" i="1" a="1"/>
  <c r="O344" i="1" s="1"/>
  <c r="D344" i="1"/>
  <c r="P343" i="1" a="1"/>
  <c r="P343" i="1" s="1"/>
  <c r="O343" i="1" a="1"/>
  <c r="O343" i="1" s="1"/>
  <c r="D343" i="1"/>
  <c r="P342" i="1" a="1"/>
  <c r="P342" i="1" s="1"/>
  <c r="O342" i="1" a="1"/>
  <c r="O342" i="1" s="1"/>
  <c r="D342" i="1"/>
  <c r="O341" i="1" a="1"/>
  <c r="O341" i="1" s="1"/>
  <c r="D341" i="1"/>
  <c r="O340" i="1" a="1"/>
  <c r="O340" i="1" s="1"/>
  <c r="D340" i="1"/>
  <c r="D339" i="1"/>
  <c r="O338" i="1" a="1"/>
  <c r="O338" i="1" s="1"/>
  <c r="D338" i="1"/>
  <c r="D337" i="1"/>
  <c r="P336" i="1" a="1"/>
  <c r="P336" i="1" s="1"/>
  <c r="O336" i="1" a="1"/>
  <c r="O336" i="1" s="1"/>
  <c r="D336" i="1"/>
  <c r="Q335" i="1"/>
  <c r="Q334" i="1" s="1"/>
  <c r="J335" i="1"/>
  <c r="J334" i="1" s="1"/>
  <c r="F335" i="1"/>
  <c r="D335" i="1"/>
  <c r="D334" i="1"/>
  <c r="D333" i="1"/>
  <c r="P332" i="1" a="1"/>
  <c r="P332" i="1" s="1"/>
  <c r="O332" i="1" a="1"/>
  <c r="O332" i="1" s="1"/>
  <c r="D332" i="1"/>
  <c r="O331" i="1" a="1"/>
  <c r="O331" i="1" s="1"/>
  <c r="D331" i="1"/>
  <c r="P330" i="1" a="1"/>
  <c r="P330" i="1" s="1"/>
  <c r="O330" i="1" a="1"/>
  <c r="O330" i="1" s="1"/>
  <c r="D330" i="1"/>
  <c r="Q329" i="1"/>
  <c r="J329" i="1"/>
  <c r="F329" i="1"/>
  <c r="D329" i="1"/>
  <c r="P328" i="1" a="1"/>
  <c r="P328" i="1" s="1"/>
  <c r="O328" i="1" a="1"/>
  <c r="O328" i="1" s="1"/>
  <c r="D328" i="1"/>
  <c r="P327" i="1" a="1"/>
  <c r="P327" i="1" s="1"/>
  <c r="O327" i="1" a="1"/>
  <c r="O327" i="1" s="1"/>
  <c r="D327" i="1"/>
  <c r="O326" i="1" a="1"/>
  <c r="O326" i="1" s="1"/>
  <c r="D326" i="1"/>
  <c r="O325" i="1" a="1"/>
  <c r="O325" i="1" s="1"/>
  <c r="D325" i="1"/>
  <c r="O324" i="1" a="1"/>
  <c r="O324" i="1" s="1"/>
  <c r="D324" i="1"/>
  <c r="P323" i="1" a="1"/>
  <c r="P323" i="1" s="1"/>
  <c r="O323" i="1" a="1"/>
  <c r="O323" i="1" s="1"/>
  <c r="D323" i="1"/>
  <c r="P322" i="1" a="1"/>
  <c r="P322" i="1" s="1"/>
  <c r="O322" i="1" a="1"/>
  <c r="O322" i="1" s="1"/>
  <c r="D322" i="1"/>
  <c r="P321" i="1" a="1"/>
  <c r="P321" i="1" s="1"/>
  <c r="O321" i="1" a="1"/>
  <c r="O321" i="1" s="1"/>
  <c r="D321" i="1"/>
  <c r="D320" i="1"/>
  <c r="P319" i="1" a="1"/>
  <c r="P319" i="1" s="1"/>
  <c r="O319" i="1" a="1"/>
  <c r="O319" i="1" s="1"/>
  <c r="D319" i="1"/>
  <c r="P318" i="1" a="1"/>
  <c r="P318" i="1" s="1"/>
  <c r="O318" i="1" a="1"/>
  <c r="O318" i="1" s="1"/>
  <c r="D318" i="1"/>
  <c r="P317" i="1" a="1"/>
  <c r="P317" i="1" s="1"/>
  <c r="O317" i="1" a="1"/>
  <c r="O317" i="1" s="1"/>
  <c r="D317" i="1"/>
  <c r="P316" i="1" a="1"/>
  <c r="P316" i="1" s="1"/>
  <c r="O316" i="1" a="1"/>
  <c r="O316" i="1" s="1"/>
  <c r="D316" i="1"/>
  <c r="P315" i="1" a="1"/>
  <c r="P315" i="1" s="1"/>
  <c r="O315" i="1" a="1"/>
  <c r="O315" i="1" s="1"/>
  <c r="D315" i="1"/>
  <c r="P314" i="1" a="1"/>
  <c r="P314" i="1" s="1"/>
  <c r="O314" i="1" a="1"/>
  <c r="O314" i="1" s="1"/>
  <c r="D314" i="1"/>
  <c r="P313" i="1" a="1"/>
  <c r="P313" i="1" s="1"/>
  <c r="O313" i="1" a="1"/>
  <c r="O313" i="1" s="1"/>
  <c r="D313" i="1"/>
  <c r="P312" i="1" a="1"/>
  <c r="P312" i="1" s="1"/>
  <c r="O312" i="1" a="1"/>
  <c r="O312" i="1" s="1"/>
  <c r="D312" i="1"/>
  <c r="Q311" i="1"/>
  <c r="J311" i="1"/>
  <c r="J310" i="1" s="1"/>
  <c r="F311" i="1"/>
  <c r="F310" i="1" s="1"/>
  <c r="D311" i="1"/>
  <c r="Q310" i="1"/>
  <c r="D310" i="1"/>
  <c r="D309" i="1"/>
  <c r="D308" i="1"/>
  <c r="D307" i="1"/>
  <c r="D306" i="1"/>
  <c r="D305" i="1"/>
  <c r="D304" i="1"/>
  <c r="D303" i="1"/>
  <c r="D302" i="1"/>
  <c r="D301" i="1"/>
  <c r="D300" i="1"/>
  <c r="Q299" i="1"/>
  <c r="P299" i="1"/>
  <c r="O299" i="1"/>
  <c r="J299" i="1"/>
  <c r="F299" i="1"/>
  <c r="D299" i="1"/>
  <c r="D298" i="1"/>
  <c r="D297" i="1"/>
  <c r="D296" i="1"/>
  <c r="D295" i="1"/>
  <c r="D294" i="1"/>
  <c r="D293" i="1"/>
  <c r="D292" i="1"/>
  <c r="Q291" i="1"/>
  <c r="P291" i="1"/>
  <c r="O291" i="1"/>
  <c r="J291" i="1"/>
  <c r="F291" i="1"/>
  <c r="D291" i="1"/>
  <c r="P290" i="1" a="1"/>
  <c r="P290" i="1" s="1"/>
  <c r="O290" i="1" a="1"/>
  <c r="O290" i="1" s="1"/>
  <c r="D290" i="1"/>
  <c r="P289" i="1" a="1"/>
  <c r="P289" i="1" s="1"/>
  <c r="O289" i="1" a="1"/>
  <c r="O289" i="1" s="1"/>
  <c r="D289" i="1"/>
  <c r="P288" i="1" a="1"/>
  <c r="P288" i="1" s="1"/>
  <c r="O288" i="1" a="1"/>
  <c r="O288" i="1" s="1"/>
  <c r="D288" i="1"/>
  <c r="P287" i="1" a="1"/>
  <c r="P287" i="1" s="1"/>
  <c r="O287" i="1" a="1"/>
  <c r="O287" i="1" s="1"/>
  <c r="D287" i="1"/>
  <c r="P286" i="1" a="1"/>
  <c r="P286" i="1" s="1"/>
  <c r="O286" i="1" a="1"/>
  <c r="O286" i="1" s="1"/>
  <c r="D286" i="1"/>
  <c r="P285" i="1" a="1"/>
  <c r="P285" i="1" s="1"/>
  <c r="O285" i="1" a="1"/>
  <c r="O285" i="1" s="1"/>
  <c r="D285" i="1"/>
  <c r="P284" i="1" a="1"/>
  <c r="P284" i="1" s="1"/>
  <c r="O284" i="1" a="1"/>
  <c r="O284" i="1" s="1"/>
  <c r="D284" i="1"/>
  <c r="N283" i="1"/>
  <c r="D283" i="1"/>
  <c r="N282" i="1"/>
  <c r="D282" i="1"/>
  <c r="D281" i="1"/>
  <c r="P280" i="1" a="1"/>
  <c r="P280" i="1" s="1"/>
  <c r="O280" i="1" a="1"/>
  <c r="O280" i="1" s="1"/>
  <c r="D280" i="1"/>
  <c r="P279" i="1" a="1"/>
  <c r="P279" i="1" s="1"/>
  <c r="O279" i="1" a="1"/>
  <c r="O279" i="1" s="1"/>
  <c r="D279" i="1"/>
  <c r="Q278" i="1"/>
  <c r="J278" i="1"/>
  <c r="J272" i="1" s="1"/>
  <c r="F278" i="1"/>
  <c r="F272" i="1" s="1"/>
  <c r="D278" i="1"/>
  <c r="P277" i="1" a="1"/>
  <c r="P277" i="1" s="1"/>
  <c r="O277" i="1" a="1"/>
  <c r="O277" i="1" s="1"/>
  <c r="D277" i="1"/>
  <c r="D276" i="1"/>
  <c r="O275" i="1" a="1"/>
  <c r="O275" i="1" s="1"/>
  <c r="D275" i="1"/>
  <c r="P274" i="1" a="1"/>
  <c r="P274" i="1" s="1"/>
  <c r="O274" i="1" a="1"/>
  <c r="O274" i="1" s="1"/>
  <c r="D274" i="1"/>
  <c r="Q273" i="1"/>
  <c r="Q272" i="1" s="1"/>
  <c r="J273" i="1"/>
  <c r="F273" i="1"/>
  <c r="D273" i="1"/>
  <c r="D272" i="1"/>
  <c r="D271" i="1"/>
  <c r="P270" i="1" a="1"/>
  <c r="P270" i="1" s="1"/>
  <c r="O270" i="1" a="1"/>
  <c r="O270" i="1" s="1"/>
  <c r="D270" i="1"/>
  <c r="P269" i="1" a="1"/>
  <c r="P269" i="1" s="1"/>
  <c r="O269" i="1" a="1"/>
  <c r="O269" i="1" s="1"/>
  <c r="D269" i="1"/>
  <c r="P268" i="1" a="1"/>
  <c r="P268" i="1" s="1"/>
  <c r="O268" i="1" a="1"/>
  <c r="O268" i="1" s="1"/>
  <c r="D268" i="1"/>
  <c r="P267" i="1" a="1"/>
  <c r="P267" i="1" s="1"/>
  <c r="O267" i="1" a="1"/>
  <c r="O267" i="1" s="1"/>
  <c r="D267" i="1"/>
  <c r="P266" i="1" a="1"/>
  <c r="P266" i="1" s="1"/>
  <c r="O266" i="1" a="1"/>
  <c r="O266" i="1" s="1"/>
  <c r="D266" i="1"/>
  <c r="P265" i="1" a="1"/>
  <c r="P265" i="1" s="1"/>
  <c r="O265" i="1" a="1"/>
  <c r="O265" i="1" s="1"/>
  <c r="D265" i="1"/>
  <c r="P264" i="1" a="1"/>
  <c r="P264" i="1" s="1"/>
  <c r="O264" i="1" a="1"/>
  <c r="O264" i="1" s="1"/>
  <c r="D264" i="1"/>
  <c r="P263" i="1" a="1"/>
  <c r="P263" i="1" s="1"/>
  <c r="O263" i="1" a="1"/>
  <c r="O263" i="1" s="1"/>
  <c r="D263" i="1"/>
  <c r="O262" i="1" a="1"/>
  <c r="O262" i="1" s="1"/>
  <c r="D262" i="1"/>
  <c r="P261" i="1" a="1"/>
  <c r="P261" i="1" s="1"/>
  <c r="O261" i="1" a="1"/>
  <c r="O261" i="1" s="1"/>
  <c r="D261" i="1"/>
  <c r="O260" i="1" a="1"/>
  <c r="O260" i="1" s="1"/>
  <c r="D260" i="1"/>
  <c r="D259" i="1"/>
  <c r="P258" i="1" a="1"/>
  <c r="P258" i="1" s="1"/>
  <c r="O258" i="1" a="1"/>
  <c r="O258" i="1" s="1"/>
  <c r="D258" i="1"/>
  <c r="P257" i="1" a="1"/>
  <c r="P257" i="1" s="1"/>
  <c r="O257" i="1" a="1"/>
  <c r="O257" i="1" s="1"/>
  <c r="D257" i="1"/>
  <c r="P256" i="1" a="1"/>
  <c r="P256" i="1" s="1"/>
  <c r="O256" i="1" a="1"/>
  <c r="O256" i="1" s="1"/>
  <c r="D256" i="1"/>
  <c r="O255" i="1" a="1"/>
  <c r="O255" i="1" s="1"/>
  <c r="D255" i="1"/>
  <c r="D254" i="1"/>
  <c r="P253" i="1" a="1"/>
  <c r="P253" i="1" s="1"/>
  <c r="O253" i="1" a="1"/>
  <c r="O253" i="1" s="1"/>
  <c r="D253" i="1"/>
  <c r="D252" i="1"/>
  <c r="Q251" i="1"/>
  <c r="Q250" i="1" s="1"/>
  <c r="J251" i="1"/>
  <c r="J250" i="1" s="1"/>
  <c r="F251" i="1"/>
  <c r="F250" i="1" s="1"/>
  <c r="D251" i="1"/>
  <c r="D250" i="1"/>
  <c r="D249" i="1"/>
  <c r="D248" i="1"/>
  <c r="P247" i="1" a="1"/>
  <c r="P247" i="1" s="1"/>
  <c r="O247" i="1" a="1"/>
  <c r="O247" i="1" s="1"/>
  <c r="D247" i="1"/>
  <c r="P246" i="1" a="1"/>
  <c r="P246" i="1" s="1"/>
  <c r="O246" i="1" a="1"/>
  <c r="O246" i="1" s="1"/>
  <c r="D246" i="1"/>
  <c r="P245" i="1" a="1"/>
  <c r="P245" i="1" s="1"/>
  <c r="O245" i="1" a="1"/>
  <c r="O245" i="1" s="1"/>
  <c r="D245" i="1"/>
  <c r="P244" i="1" a="1"/>
  <c r="P244" i="1" s="1"/>
  <c r="O244" i="1" a="1"/>
  <c r="O244" i="1" s="1"/>
  <c r="D244" i="1"/>
  <c r="P243" i="1" a="1"/>
  <c r="P243" i="1" s="1"/>
  <c r="O243" i="1" a="1"/>
  <c r="O243" i="1" s="1"/>
  <c r="D243" i="1"/>
  <c r="O242" i="1" a="1"/>
  <c r="O242" i="1" s="1"/>
  <c r="D242" i="1"/>
  <c r="P241" i="1" a="1"/>
  <c r="P241" i="1" s="1"/>
  <c r="O241" i="1" a="1"/>
  <c r="O241" i="1" s="1"/>
  <c r="D241" i="1"/>
  <c r="O240" i="1" a="1"/>
  <c r="O240" i="1" s="1"/>
  <c r="D240" i="1"/>
  <c r="P239" i="1" a="1"/>
  <c r="P239" i="1" s="1"/>
  <c r="O239" i="1" a="1"/>
  <c r="O239" i="1" s="1"/>
  <c r="D239" i="1"/>
  <c r="O238" i="1" a="1"/>
  <c r="O238" i="1" s="1"/>
  <c r="D238" i="1"/>
  <c r="P237" i="1" a="1"/>
  <c r="P237" i="1" s="1"/>
  <c r="O237" i="1" a="1"/>
  <c r="O237" i="1" s="1"/>
  <c r="D237" i="1"/>
  <c r="P236" i="1" a="1"/>
  <c r="P236" i="1" s="1"/>
  <c r="O236" i="1" a="1"/>
  <c r="O236" i="1" s="1"/>
  <c r="D236" i="1"/>
  <c r="D235" i="1"/>
  <c r="P234" i="1" a="1"/>
  <c r="P234" i="1" s="1"/>
  <c r="O234" i="1" a="1"/>
  <c r="O234" i="1" s="1"/>
  <c r="D234" i="1"/>
  <c r="P233" i="1" a="1"/>
  <c r="P233" i="1" s="1"/>
  <c r="O233" i="1" a="1"/>
  <c r="O233" i="1" s="1"/>
  <c r="D233" i="1"/>
  <c r="P232" i="1" a="1"/>
  <c r="P232" i="1" s="1"/>
  <c r="O232" i="1" a="1"/>
  <c r="O232" i="1" s="1"/>
  <c r="D232" i="1"/>
  <c r="P231" i="1" a="1"/>
  <c r="P231" i="1" s="1"/>
  <c r="O231" i="1" a="1"/>
  <c r="O231" i="1" s="1"/>
  <c r="D231" i="1"/>
  <c r="Q230" i="1"/>
  <c r="J230" i="1"/>
  <c r="F230" i="1"/>
  <c r="D230" i="1"/>
  <c r="P229" i="1" a="1"/>
  <c r="P229" i="1" s="1"/>
  <c r="O229" i="1" a="1"/>
  <c r="O229" i="1" s="1"/>
  <c r="D229" i="1"/>
  <c r="P228" i="1" a="1"/>
  <c r="P228" i="1" s="1"/>
  <c r="O228" i="1" a="1"/>
  <c r="O228" i="1" s="1"/>
  <c r="D228" i="1"/>
  <c r="P227" i="1" a="1"/>
  <c r="P227" i="1" s="1"/>
  <c r="O227" i="1" a="1"/>
  <c r="O227" i="1" s="1"/>
  <c r="D227" i="1"/>
  <c r="P226" i="1" a="1"/>
  <c r="P226" i="1" s="1"/>
  <c r="O226" i="1" a="1"/>
  <c r="O226" i="1" s="1"/>
  <c r="D226" i="1"/>
  <c r="P225" i="1" a="1"/>
  <c r="P225" i="1" s="1"/>
  <c r="O225" i="1" a="1"/>
  <c r="O225" i="1" s="1"/>
  <c r="D225" i="1"/>
  <c r="P224" i="1" a="1"/>
  <c r="P224" i="1" s="1"/>
  <c r="O224" i="1" a="1"/>
  <c r="O224" i="1" s="1"/>
  <c r="D224" i="1"/>
  <c r="O223" i="1" a="1"/>
  <c r="O223" i="1" s="1"/>
  <c r="D223" i="1"/>
  <c r="P222" i="1" a="1"/>
  <c r="P222" i="1" s="1"/>
  <c r="O222" i="1" a="1"/>
  <c r="O222" i="1" s="1"/>
  <c r="D222" i="1"/>
  <c r="P221" i="1" a="1"/>
  <c r="P221" i="1" s="1"/>
  <c r="O221" i="1" a="1"/>
  <c r="O221" i="1" s="1"/>
  <c r="D221" i="1"/>
  <c r="P220" i="1" a="1"/>
  <c r="P220" i="1" s="1"/>
  <c r="O220" i="1" a="1"/>
  <c r="O220" i="1" s="1"/>
  <c r="D220" i="1"/>
  <c r="P219" i="1" a="1"/>
  <c r="P219" i="1" s="1"/>
  <c r="O219" i="1" a="1"/>
  <c r="O219" i="1" s="1"/>
  <c r="D219" i="1"/>
  <c r="D218" i="1"/>
  <c r="P217" i="1" a="1"/>
  <c r="P217" i="1" s="1"/>
  <c r="O217" i="1" a="1"/>
  <c r="O217" i="1" s="1"/>
  <c r="D217" i="1"/>
  <c r="P216" i="1" a="1"/>
  <c r="P216" i="1" s="1"/>
  <c r="O216" i="1" a="1"/>
  <c r="O216" i="1" s="1"/>
  <c r="D216" i="1"/>
  <c r="Q215" i="1"/>
  <c r="J215" i="1"/>
  <c r="F215" i="1"/>
  <c r="D215" i="1"/>
  <c r="P214" i="1" a="1"/>
  <c r="P214" i="1" s="1"/>
  <c r="O214" i="1" a="1"/>
  <c r="O214" i="1" s="1"/>
  <c r="D214" i="1"/>
  <c r="P213" i="1" a="1"/>
  <c r="P213" i="1" s="1"/>
  <c r="O213" i="1" a="1"/>
  <c r="O213" i="1" s="1"/>
  <c r="D213" i="1"/>
  <c r="O212" i="1" a="1"/>
  <c r="O212" i="1" s="1"/>
  <c r="D212" i="1"/>
  <c r="D211" i="1"/>
  <c r="P210" i="1" a="1"/>
  <c r="P210" i="1" s="1"/>
  <c r="O210" i="1" a="1"/>
  <c r="O210" i="1" s="1"/>
  <c r="D210" i="1"/>
  <c r="P209" i="1" a="1"/>
  <c r="P209" i="1" s="1"/>
  <c r="O209" i="1" a="1"/>
  <c r="O209" i="1" s="1"/>
  <c r="D209" i="1"/>
  <c r="P208" i="1" a="1"/>
  <c r="P208" i="1" s="1"/>
  <c r="O208" i="1" a="1"/>
  <c r="O208" i="1" s="1"/>
  <c r="D208" i="1"/>
  <c r="P207" i="1" a="1"/>
  <c r="P207" i="1" s="1"/>
  <c r="O207" i="1" a="1"/>
  <c r="O207" i="1" s="1"/>
  <c r="D207" i="1"/>
  <c r="O206" i="1" a="1"/>
  <c r="O206" i="1" s="1"/>
  <c r="D206" i="1"/>
  <c r="O205" i="1" a="1"/>
  <c r="O205" i="1" s="1"/>
  <c r="D205" i="1"/>
  <c r="O204" i="1" a="1"/>
  <c r="O204" i="1" s="1"/>
  <c r="D204" i="1"/>
  <c r="P203" i="1" a="1"/>
  <c r="P203" i="1" s="1"/>
  <c r="O203" i="1" a="1"/>
  <c r="O203" i="1" s="1"/>
  <c r="D203" i="1"/>
  <c r="P202" i="1" a="1"/>
  <c r="P202" i="1" s="1"/>
  <c r="O202" i="1" a="1"/>
  <c r="O202" i="1" s="1"/>
  <c r="D202" i="1"/>
  <c r="P201" i="1" a="1"/>
  <c r="P201" i="1" s="1"/>
  <c r="O201" i="1" a="1"/>
  <c r="O201" i="1" s="1"/>
  <c r="D201" i="1"/>
  <c r="P200" i="1" a="1"/>
  <c r="P200" i="1" s="1"/>
  <c r="O200" i="1" a="1"/>
  <c r="O200" i="1" s="1"/>
  <c r="D200" i="1"/>
  <c r="P199" i="1" a="1"/>
  <c r="P199" i="1" s="1"/>
  <c r="O199" i="1" a="1"/>
  <c r="O199" i="1" s="1"/>
  <c r="D199" i="1"/>
  <c r="P198" i="1" a="1"/>
  <c r="P198" i="1" s="1"/>
  <c r="O198" i="1" a="1"/>
  <c r="O198" i="1" s="1"/>
  <c r="D198" i="1"/>
  <c r="P197" i="1" a="1"/>
  <c r="P197" i="1" s="1"/>
  <c r="O197" i="1" a="1"/>
  <c r="O197" i="1" s="1"/>
  <c r="D197" i="1"/>
  <c r="P196" i="1" a="1"/>
  <c r="P196" i="1" s="1"/>
  <c r="O196" i="1" a="1"/>
  <c r="O196" i="1" s="1"/>
  <c r="D196" i="1"/>
  <c r="P195" i="1" a="1"/>
  <c r="P195" i="1" s="1"/>
  <c r="O195" i="1" a="1"/>
  <c r="O195" i="1" s="1"/>
  <c r="D195" i="1"/>
  <c r="P194" i="1" a="1"/>
  <c r="P194" i="1" s="1"/>
  <c r="O194" i="1" a="1"/>
  <c r="O194" i="1" s="1"/>
  <c r="D194" i="1"/>
  <c r="P193" i="1" a="1"/>
  <c r="P193" i="1" s="1"/>
  <c r="O193" i="1" a="1"/>
  <c r="O193" i="1" s="1"/>
  <c r="D193" i="1"/>
  <c r="P192" i="1" a="1"/>
  <c r="P192" i="1" s="1"/>
  <c r="O192" i="1" a="1"/>
  <c r="O192" i="1" s="1"/>
  <c r="D192" i="1"/>
  <c r="P191" i="1" a="1"/>
  <c r="P191" i="1" s="1"/>
  <c r="O191" i="1" a="1"/>
  <c r="O191" i="1" s="1"/>
  <c r="D191" i="1"/>
  <c r="P190" i="1" a="1"/>
  <c r="P190" i="1" s="1"/>
  <c r="O190" i="1" a="1"/>
  <c r="O190" i="1" s="1"/>
  <c r="D190" i="1"/>
  <c r="O189" i="1" a="1"/>
  <c r="O189" i="1" s="1"/>
  <c r="D189" i="1"/>
  <c r="D188" i="1"/>
  <c r="D187" i="1"/>
  <c r="D186" i="1"/>
  <c r="P185" i="1" a="1"/>
  <c r="P185" i="1" s="1"/>
  <c r="O185" i="1" a="1"/>
  <c r="O185" i="1" s="1"/>
  <c r="D185" i="1"/>
  <c r="O184" i="1" a="1"/>
  <c r="O184" i="1" s="1"/>
  <c r="D184" i="1"/>
  <c r="P183" i="1" a="1"/>
  <c r="P183" i="1" s="1"/>
  <c r="O183" i="1" a="1"/>
  <c r="O183" i="1" s="1"/>
  <c r="D183" i="1"/>
  <c r="Q182" i="1"/>
  <c r="Q181" i="1" s="1"/>
  <c r="J182" i="1"/>
  <c r="J181" i="1" s="1"/>
  <c r="F182" i="1"/>
  <c r="F181" i="1" s="1"/>
  <c r="D182" i="1"/>
  <c r="D181" i="1"/>
  <c r="D180" i="1"/>
  <c r="P179" i="1" a="1"/>
  <c r="P179" i="1" s="1"/>
  <c r="O179" i="1" a="1"/>
  <c r="O179" i="1" s="1"/>
  <c r="D179" i="1"/>
  <c r="O178" i="1" a="1"/>
  <c r="O178" i="1" s="1"/>
  <c r="D178" i="1"/>
  <c r="P177" i="1" a="1"/>
  <c r="P177" i="1" s="1"/>
  <c r="O177" i="1" a="1"/>
  <c r="O177" i="1" s="1"/>
  <c r="D177" i="1"/>
  <c r="Q176" i="1"/>
  <c r="J176" i="1"/>
  <c r="F176" i="1"/>
  <c r="D176" i="1"/>
  <c r="P175" i="1" a="1"/>
  <c r="P175" i="1" s="1"/>
  <c r="O175" i="1" a="1"/>
  <c r="O175" i="1" s="1"/>
  <c r="D175" i="1"/>
  <c r="P174" i="1" a="1"/>
  <c r="P174" i="1" s="1"/>
  <c r="O174" i="1" a="1"/>
  <c r="O174" i="1" s="1"/>
  <c r="D174" i="1"/>
  <c r="P173" i="1" a="1"/>
  <c r="P173" i="1" s="1"/>
  <c r="O173" i="1" a="1"/>
  <c r="O173" i="1" s="1"/>
  <c r="D173" i="1"/>
  <c r="O172" i="1" a="1"/>
  <c r="O172" i="1" s="1"/>
  <c r="D172" i="1"/>
  <c r="D171" i="1"/>
  <c r="D170" i="1"/>
  <c r="P169" i="1" a="1"/>
  <c r="P169" i="1" s="1"/>
  <c r="O169" i="1" a="1"/>
  <c r="O169" i="1" s="1"/>
  <c r="D169" i="1"/>
  <c r="D168" i="1"/>
  <c r="D167" i="1"/>
  <c r="P166" i="1" a="1"/>
  <c r="P166" i="1" s="1"/>
  <c r="O166" i="1" a="1"/>
  <c r="O166" i="1" s="1"/>
  <c r="D166" i="1"/>
  <c r="P165" i="1" a="1"/>
  <c r="P165" i="1" s="1"/>
  <c r="O165" i="1" a="1"/>
  <c r="O165" i="1" s="1"/>
  <c r="D165" i="1"/>
  <c r="P164" i="1" a="1"/>
  <c r="P164" i="1" s="1"/>
  <c r="O164" i="1" a="1"/>
  <c r="O164" i="1" s="1"/>
  <c r="D164" i="1"/>
  <c r="P163" i="1" a="1"/>
  <c r="P163" i="1" s="1"/>
  <c r="O163" i="1" a="1"/>
  <c r="O163" i="1" s="1"/>
  <c r="D163" i="1"/>
  <c r="P162" i="1" a="1"/>
  <c r="P162" i="1" s="1"/>
  <c r="O162" i="1" a="1"/>
  <c r="O162" i="1" s="1"/>
  <c r="D162" i="1"/>
  <c r="P161" i="1" a="1"/>
  <c r="P161" i="1" s="1"/>
  <c r="O161" i="1" a="1"/>
  <c r="O161" i="1" s="1"/>
  <c r="D161" i="1"/>
  <c r="P160" i="1" a="1"/>
  <c r="P160" i="1" s="1"/>
  <c r="O160" i="1" a="1"/>
  <c r="O160" i="1" s="1"/>
  <c r="D160" i="1"/>
  <c r="P159" i="1" a="1"/>
  <c r="P159" i="1" s="1"/>
  <c r="O159" i="1" a="1"/>
  <c r="O159" i="1" s="1"/>
  <c r="D159" i="1"/>
  <c r="P158" i="1" a="1"/>
  <c r="P158" i="1" s="1"/>
  <c r="O158" i="1" a="1"/>
  <c r="O158" i="1" s="1"/>
  <c r="D158" i="1"/>
  <c r="P157" i="1" a="1"/>
  <c r="P157" i="1" s="1"/>
  <c r="O157" i="1" a="1"/>
  <c r="O157" i="1" s="1"/>
  <c r="D157" i="1"/>
  <c r="P156" i="1" a="1"/>
  <c r="P156" i="1" s="1"/>
  <c r="O156" i="1" a="1"/>
  <c r="O156" i="1" s="1"/>
  <c r="D156" i="1"/>
  <c r="P155" i="1" a="1"/>
  <c r="P155" i="1" s="1"/>
  <c r="O155" i="1" a="1"/>
  <c r="O155" i="1" s="1"/>
  <c r="D155" i="1"/>
  <c r="O154" i="1" a="1"/>
  <c r="O154" i="1" s="1"/>
  <c r="D154" i="1"/>
  <c r="O153" i="1" a="1"/>
  <c r="O153" i="1" s="1"/>
  <c r="D153" i="1"/>
  <c r="P152" i="1" a="1"/>
  <c r="P152" i="1" s="1"/>
  <c r="O152" i="1" a="1"/>
  <c r="O152" i="1" s="1"/>
  <c r="D152" i="1"/>
  <c r="Q151" i="1"/>
  <c r="Q113" i="1" s="1"/>
  <c r="Q112" i="1" s="1"/>
  <c r="J151" i="1"/>
  <c r="F151" i="1"/>
  <c r="D151" i="1"/>
  <c r="P150" i="1" a="1"/>
  <c r="P150" i="1" s="1"/>
  <c r="O150" i="1" a="1"/>
  <c r="O150" i="1" s="1"/>
  <c r="D150" i="1"/>
  <c r="O149" i="1" a="1"/>
  <c r="O149" i="1" s="1"/>
  <c r="D149" i="1"/>
  <c r="P148" i="1" a="1"/>
  <c r="P148" i="1" s="1"/>
  <c r="O148" i="1" a="1"/>
  <c r="O148" i="1" s="1"/>
  <c r="D148" i="1"/>
  <c r="O147" i="1" a="1"/>
  <c r="O147" i="1" s="1"/>
  <c r="D147" i="1"/>
  <c r="P146" i="1" a="1"/>
  <c r="P146" i="1" s="1"/>
  <c r="O146" i="1" a="1"/>
  <c r="O146" i="1" s="1"/>
  <c r="D146" i="1"/>
  <c r="P145" i="1" a="1"/>
  <c r="P145" i="1" s="1"/>
  <c r="O145" i="1" a="1"/>
  <c r="O145" i="1" s="1"/>
  <c r="D145" i="1"/>
  <c r="P144" i="1" a="1"/>
  <c r="P144" i="1" s="1"/>
  <c r="O144" i="1" a="1"/>
  <c r="O144" i="1" s="1"/>
  <c r="D144" i="1"/>
  <c r="P143" i="1" a="1"/>
  <c r="P143" i="1" s="1"/>
  <c r="O143" i="1" a="1"/>
  <c r="O143" i="1" s="1"/>
  <c r="D143" i="1"/>
  <c r="P142" i="1" a="1"/>
  <c r="P142" i="1" s="1"/>
  <c r="O142" i="1" a="1"/>
  <c r="O142" i="1" s="1"/>
  <c r="D142" i="1"/>
  <c r="P141" i="1" a="1"/>
  <c r="P141" i="1" s="1"/>
  <c r="O141" i="1" a="1"/>
  <c r="O141" i="1" s="1"/>
  <c r="D141" i="1"/>
  <c r="P140" i="1" a="1"/>
  <c r="P140" i="1" s="1"/>
  <c r="O140" i="1" a="1"/>
  <c r="O140" i="1" s="1"/>
  <c r="D140" i="1"/>
  <c r="O139" i="1" a="1"/>
  <c r="O139" i="1" s="1"/>
  <c r="D139" i="1"/>
  <c r="P138" i="1" a="1"/>
  <c r="P138" i="1" s="1"/>
  <c r="O138" i="1" a="1"/>
  <c r="O138" i="1" s="1"/>
  <c r="D138" i="1"/>
  <c r="P137" i="1" a="1"/>
  <c r="P137" i="1" s="1"/>
  <c r="O137" i="1" a="1"/>
  <c r="O137" i="1" s="1"/>
  <c r="D137" i="1"/>
  <c r="P136" i="1" a="1"/>
  <c r="P136" i="1" s="1"/>
  <c r="O136" i="1" a="1"/>
  <c r="O136" i="1" s="1"/>
  <c r="D136" i="1"/>
  <c r="P135" i="1" a="1"/>
  <c r="P135" i="1" s="1"/>
  <c r="O135" i="1" a="1"/>
  <c r="O135" i="1" s="1"/>
  <c r="D135" i="1"/>
  <c r="P134" i="1" a="1"/>
  <c r="P134" i="1" s="1"/>
  <c r="O134" i="1" a="1"/>
  <c r="O134" i="1" s="1"/>
  <c r="D134" i="1"/>
  <c r="P133" i="1" a="1"/>
  <c r="P133" i="1" s="1"/>
  <c r="O133" i="1" a="1"/>
  <c r="O133" i="1" s="1"/>
  <c r="D133" i="1"/>
  <c r="O132" i="1" a="1"/>
  <c r="O132" i="1" s="1"/>
  <c r="D132" i="1"/>
  <c r="P131" i="1" a="1"/>
  <c r="P131" i="1" s="1"/>
  <c r="O131" i="1" a="1"/>
  <c r="O131" i="1" s="1"/>
  <c r="D131" i="1"/>
  <c r="P130" i="1" a="1"/>
  <c r="P130" i="1" s="1"/>
  <c r="O130" i="1" a="1"/>
  <c r="O130" i="1" s="1"/>
  <c r="D130" i="1"/>
  <c r="P129" i="1" a="1"/>
  <c r="P129" i="1" s="1"/>
  <c r="O129" i="1" a="1"/>
  <c r="O129" i="1" s="1"/>
  <c r="D129" i="1"/>
  <c r="P128" i="1" a="1"/>
  <c r="P128" i="1" s="1"/>
  <c r="O128" i="1" a="1"/>
  <c r="O128" i="1" s="1"/>
  <c r="D128" i="1"/>
  <c r="O127" i="1" a="1"/>
  <c r="O127" i="1" s="1"/>
  <c r="D127" i="1"/>
  <c r="O126" i="1" a="1"/>
  <c r="O126" i="1" s="1"/>
  <c r="D126" i="1"/>
  <c r="P125" i="1" a="1"/>
  <c r="P125" i="1" s="1"/>
  <c r="O125" i="1" a="1"/>
  <c r="O125" i="1" s="1"/>
  <c r="D125" i="1"/>
  <c r="P124" i="1" a="1"/>
  <c r="P124" i="1" s="1"/>
  <c r="O124" i="1" a="1"/>
  <c r="O124" i="1" s="1"/>
  <c r="D124" i="1"/>
  <c r="Q123" i="1"/>
  <c r="J123" i="1"/>
  <c r="F123" i="1"/>
  <c r="D123" i="1"/>
  <c r="P122" i="1" a="1"/>
  <c r="P122" i="1" s="1"/>
  <c r="O122" i="1" a="1"/>
  <c r="O122" i="1" s="1"/>
  <c r="D122" i="1"/>
  <c r="O121" i="1" a="1"/>
  <c r="O121" i="1" s="1"/>
  <c r="D121" i="1"/>
  <c r="P120" i="1" a="1"/>
  <c r="P120" i="1" s="1"/>
  <c r="O120" i="1" a="1"/>
  <c r="O120" i="1" s="1"/>
  <c r="D120" i="1"/>
  <c r="O119" i="1" a="1"/>
  <c r="O119" i="1" s="1"/>
  <c r="D119" i="1"/>
  <c r="P118" i="1" a="1"/>
  <c r="P118" i="1" s="1"/>
  <c r="O118" i="1" a="1"/>
  <c r="O118" i="1" s="1"/>
  <c r="D118" i="1"/>
  <c r="D117" i="1"/>
  <c r="O116" i="1" a="1"/>
  <c r="O116" i="1" s="1"/>
  <c r="D116" i="1"/>
  <c r="P115" i="1" a="1"/>
  <c r="P115" i="1" s="1"/>
  <c r="O115" i="1" a="1"/>
  <c r="O115" i="1" s="1"/>
  <c r="D115" i="1"/>
  <c r="Q114" i="1"/>
  <c r="J114" i="1"/>
  <c r="J113" i="1" s="1"/>
  <c r="J112" i="1" s="1"/>
  <c r="F114" i="1"/>
  <c r="F113" i="1" s="1"/>
  <c r="F112" i="1" s="1"/>
  <c r="D114" i="1"/>
  <c r="D113" i="1"/>
  <c r="D112" i="1"/>
  <c r="D111" i="1"/>
  <c r="P110" i="1" a="1"/>
  <c r="P110" i="1" s="1"/>
  <c r="O110" i="1" a="1"/>
  <c r="O110" i="1" s="1"/>
  <c r="D110" i="1"/>
  <c r="D109" i="1"/>
  <c r="P108" i="1" a="1"/>
  <c r="P108" i="1" s="1"/>
  <c r="O108" i="1" a="1"/>
  <c r="O108" i="1" s="1"/>
  <c r="D108" i="1"/>
  <c r="P107" i="1" a="1"/>
  <c r="P107" i="1" s="1"/>
  <c r="O107" i="1" a="1"/>
  <c r="O107" i="1" s="1"/>
  <c r="D107" i="1"/>
  <c r="P106" i="1" a="1"/>
  <c r="P106" i="1" s="1"/>
  <c r="O106" i="1" a="1"/>
  <c r="O106" i="1" s="1"/>
  <c r="D106" i="1"/>
  <c r="P105" i="1" a="1"/>
  <c r="P105" i="1" s="1"/>
  <c r="O105" i="1" a="1"/>
  <c r="O105" i="1" s="1"/>
  <c r="D105" i="1"/>
  <c r="P104" i="1" a="1"/>
  <c r="P104" i="1" s="1"/>
  <c r="O104" i="1" a="1"/>
  <c r="O104" i="1" s="1"/>
  <c r="D104" i="1"/>
  <c r="Q103" i="1"/>
  <c r="J103" i="1"/>
  <c r="F103" i="1"/>
  <c r="D103" i="1"/>
  <c r="P102" i="1" a="1"/>
  <c r="P102" i="1" s="1"/>
  <c r="O102" i="1" a="1"/>
  <c r="O102" i="1" s="1"/>
  <c r="D102" i="1"/>
  <c r="P101" i="1" a="1"/>
  <c r="P101" i="1" s="1"/>
  <c r="O101" i="1" a="1"/>
  <c r="O101" i="1" s="1"/>
  <c r="D101" i="1"/>
  <c r="O100" i="1" a="1"/>
  <c r="O100" i="1" s="1"/>
  <c r="D100" i="1"/>
  <c r="O99" i="1" a="1"/>
  <c r="O99" i="1" s="1"/>
  <c r="D99" i="1"/>
  <c r="D98" i="1"/>
  <c r="O97" i="1" a="1"/>
  <c r="O97" i="1" s="1"/>
  <c r="D97" i="1"/>
  <c r="P96" i="1" a="1"/>
  <c r="P96" i="1" s="1"/>
  <c r="O96" i="1" a="1"/>
  <c r="O96" i="1" s="1"/>
  <c r="D96" i="1"/>
  <c r="P95" i="1" a="1"/>
  <c r="P95" i="1" s="1"/>
  <c r="O95" i="1" a="1"/>
  <c r="O95" i="1" s="1"/>
  <c r="D95" i="1"/>
  <c r="P94" i="1" a="1"/>
  <c r="P94" i="1" s="1"/>
  <c r="O94" i="1" a="1"/>
  <c r="O94" i="1" s="1"/>
  <c r="D94" i="1"/>
  <c r="P93" i="1" a="1"/>
  <c r="P93" i="1" s="1"/>
  <c r="O93" i="1" a="1"/>
  <c r="O93" i="1" s="1"/>
  <c r="D93" i="1"/>
  <c r="P92" i="1" a="1"/>
  <c r="P92" i="1" s="1"/>
  <c r="O92" i="1" a="1"/>
  <c r="O92" i="1" s="1"/>
  <c r="D92" i="1"/>
  <c r="P91" i="1" a="1"/>
  <c r="P91" i="1" s="1"/>
  <c r="O91" i="1" a="1"/>
  <c r="O91" i="1" s="1"/>
  <c r="D91" i="1"/>
  <c r="P90" i="1" a="1"/>
  <c r="P90" i="1" s="1"/>
  <c r="O90" i="1" a="1"/>
  <c r="O90" i="1" s="1"/>
  <c r="D90" i="1"/>
  <c r="O89" i="1" a="1"/>
  <c r="O89" i="1" s="1"/>
  <c r="D89" i="1"/>
  <c r="P88" i="1" a="1"/>
  <c r="P88" i="1" s="1"/>
  <c r="O88" i="1" a="1"/>
  <c r="O88" i="1" s="1"/>
  <c r="D88" i="1"/>
  <c r="P87" i="1" a="1"/>
  <c r="P87" i="1" s="1"/>
  <c r="O87" i="1" a="1"/>
  <c r="O87" i="1" s="1"/>
  <c r="D87" i="1"/>
  <c r="P86" i="1" a="1"/>
  <c r="P86" i="1" s="1"/>
  <c r="O86" i="1" a="1"/>
  <c r="O86" i="1" s="1"/>
  <c r="D86" i="1"/>
  <c r="P85" i="1" a="1"/>
  <c r="P85" i="1" s="1"/>
  <c r="O85" i="1" a="1"/>
  <c r="O85" i="1" s="1"/>
  <c r="D85" i="1"/>
  <c r="P84" i="1" a="1"/>
  <c r="P84" i="1" s="1"/>
  <c r="O84" i="1" a="1"/>
  <c r="O84" i="1" s="1"/>
  <c r="D84" i="1"/>
  <c r="O83" i="1" a="1"/>
  <c r="O83" i="1" s="1"/>
  <c r="D83" i="1"/>
  <c r="P82" i="1" a="1"/>
  <c r="P82" i="1" s="1"/>
  <c r="O82" i="1" a="1"/>
  <c r="O82" i="1" s="1"/>
  <c r="D82" i="1"/>
  <c r="P81" i="1" a="1"/>
  <c r="P81" i="1" s="1"/>
  <c r="O81" i="1" a="1"/>
  <c r="O81" i="1" s="1"/>
  <c r="D81" i="1"/>
  <c r="P80" i="1" a="1"/>
  <c r="P80" i="1" s="1"/>
  <c r="O80" i="1" a="1"/>
  <c r="O80" i="1" s="1"/>
  <c r="D80" i="1"/>
  <c r="Q79" i="1"/>
  <c r="J79" i="1"/>
  <c r="F79" i="1"/>
  <c r="D79" i="1"/>
  <c r="P78" i="1" a="1"/>
  <c r="P78" i="1" s="1"/>
  <c r="O78" i="1" a="1"/>
  <c r="O78" i="1" s="1"/>
  <c r="D78" i="1"/>
  <c r="P77" i="1" a="1"/>
  <c r="P77" i="1" s="1"/>
  <c r="O77" i="1" a="1"/>
  <c r="O77" i="1" s="1"/>
  <c r="D77" i="1"/>
  <c r="P76" i="1" a="1"/>
  <c r="P76" i="1" s="1"/>
  <c r="O76" i="1" a="1"/>
  <c r="O76" i="1" s="1"/>
  <c r="D76" i="1"/>
  <c r="O75" i="1" a="1"/>
  <c r="O75" i="1" s="1"/>
  <c r="D75" i="1"/>
  <c r="P74" i="1" a="1"/>
  <c r="P74" i="1" s="1"/>
  <c r="O74" i="1" a="1"/>
  <c r="O74" i="1" s="1"/>
  <c r="D74" i="1"/>
  <c r="P73" i="1" a="1"/>
  <c r="P73" i="1" s="1"/>
  <c r="O73" i="1" a="1"/>
  <c r="O73" i="1" s="1"/>
  <c r="D73" i="1"/>
  <c r="P72" i="1" a="1"/>
  <c r="P72" i="1" s="1"/>
  <c r="O72" i="1" a="1"/>
  <c r="O72" i="1" s="1"/>
  <c r="D72" i="1"/>
  <c r="P71" i="1" a="1"/>
  <c r="P71" i="1" s="1"/>
  <c r="O71" i="1" a="1"/>
  <c r="O71" i="1" s="1"/>
  <c r="D71" i="1"/>
  <c r="P70" i="1" a="1"/>
  <c r="P70" i="1" s="1"/>
  <c r="O70" i="1" a="1"/>
  <c r="O70" i="1" s="1"/>
  <c r="D70" i="1"/>
  <c r="P69" i="1" a="1"/>
  <c r="P69" i="1" s="1"/>
  <c r="O69" i="1" a="1"/>
  <c r="O69" i="1" s="1"/>
  <c r="D69" i="1"/>
  <c r="P68" i="1" a="1"/>
  <c r="P68" i="1" s="1"/>
  <c r="O68" i="1" a="1"/>
  <c r="O68" i="1" s="1"/>
  <c r="D68" i="1"/>
  <c r="P67" i="1" a="1"/>
  <c r="P67" i="1" s="1"/>
  <c r="O67" i="1" a="1"/>
  <c r="O67" i="1" s="1"/>
  <c r="D67" i="1"/>
  <c r="P66" i="1" a="1"/>
  <c r="P66" i="1" s="1"/>
  <c r="O66" i="1" a="1"/>
  <c r="O66" i="1" s="1"/>
  <c r="D66" i="1"/>
  <c r="O65" i="1" a="1"/>
  <c r="O65" i="1" s="1"/>
  <c r="D65" i="1"/>
  <c r="P64" i="1" a="1"/>
  <c r="P64" i="1" s="1"/>
  <c r="O64" i="1" a="1"/>
  <c r="O64" i="1" s="1"/>
  <c r="D64" i="1"/>
  <c r="P63" i="1" a="1"/>
  <c r="P63" i="1" s="1"/>
  <c r="O63" i="1" a="1"/>
  <c r="O63" i="1" s="1"/>
  <c r="D63" i="1"/>
  <c r="P62" i="1" a="1"/>
  <c r="P62" i="1" s="1"/>
  <c r="O62" i="1" a="1"/>
  <c r="O62" i="1" s="1"/>
  <c r="D62" i="1"/>
  <c r="P61" i="1" a="1"/>
  <c r="P61" i="1" s="1"/>
  <c r="O61" i="1" a="1"/>
  <c r="O61" i="1" s="1"/>
  <c r="D61" i="1"/>
  <c r="P60" i="1" a="1"/>
  <c r="P60" i="1" s="1"/>
  <c r="O60" i="1" a="1"/>
  <c r="O60" i="1" s="1"/>
  <c r="D60" i="1"/>
  <c r="P59" i="1" a="1"/>
  <c r="P59" i="1" s="1"/>
  <c r="O59" i="1" a="1"/>
  <c r="O59" i="1" s="1"/>
  <c r="D59" i="1"/>
  <c r="P58" i="1" a="1"/>
  <c r="P58" i="1" s="1"/>
  <c r="O58" i="1" a="1"/>
  <c r="O58" i="1" s="1"/>
  <c r="D58" i="1"/>
  <c r="D57" i="1"/>
  <c r="O56" i="1" a="1"/>
  <c r="O56" i="1" s="1"/>
  <c r="D56" i="1"/>
  <c r="P55" i="1" a="1"/>
  <c r="P55" i="1" s="1"/>
  <c r="O55" i="1" a="1"/>
  <c r="O55" i="1" s="1"/>
  <c r="D55" i="1"/>
  <c r="P54" i="1" a="1"/>
  <c r="P54" i="1" s="1"/>
  <c r="O54" i="1" a="1"/>
  <c r="O54" i="1" s="1"/>
  <c r="D54" i="1"/>
  <c r="P53" i="1" a="1"/>
  <c r="P53" i="1" s="1"/>
  <c r="O53" i="1" a="1"/>
  <c r="O53" i="1" s="1"/>
  <c r="D53" i="1"/>
  <c r="Q52" i="1"/>
  <c r="J52" i="1"/>
  <c r="F52" i="1"/>
  <c r="D52" i="1"/>
  <c r="P51" i="1" a="1"/>
  <c r="P51" i="1" s="1"/>
  <c r="O51" i="1" a="1"/>
  <c r="O51" i="1" s="1"/>
  <c r="D51" i="1"/>
  <c r="P50" i="1" a="1"/>
  <c r="P50" i="1" s="1"/>
  <c r="O50" i="1" a="1"/>
  <c r="O50" i="1" s="1"/>
  <c r="D50" i="1"/>
  <c r="P49" i="1" a="1"/>
  <c r="P49" i="1" s="1"/>
  <c r="O49" i="1" a="1"/>
  <c r="O49" i="1" s="1"/>
  <c r="D49" i="1"/>
  <c r="O48" i="1" a="1"/>
  <c r="O48" i="1" s="1"/>
  <c r="D48" i="1"/>
  <c r="O47" i="1" a="1"/>
  <c r="O47" i="1" s="1"/>
  <c r="D47" i="1"/>
  <c r="P46" i="1" a="1"/>
  <c r="P46" i="1" s="1"/>
  <c r="O46" i="1" a="1"/>
  <c r="O46" i="1" s="1"/>
  <c r="D46" i="1"/>
  <c r="P45" i="1" a="1"/>
  <c r="P45" i="1" s="1"/>
  <c r="O45" i="1" a="1"/>
  <c r="O45" i="1" s="1"/>
  <c r="D45" i="1"/>
  <c r="P44" i="1" a="1"/>
  <c r="P44" i="1" s="1"/>
  <c r="O44" i="1" a="1"/>
  <c r="O44" i="1" s="1"/>
  <c r="D44" i="1"/>
  <c r="P43" i="1" a="1"/>
  <c r="P43" i="1" s="1"/>
  <c r="O43" i="1" a="1"/>
  <c r="O43" i="1" s="1"/>
  <c r="D43" i="1"/>
  <c r="D42" i="1"/>
  <c r="O41" i="1" a="1"/>
  <c r="O41" i="1" s="1"/>
  <c r="D41" i="1"/>
  <c r="O40" i="1" a="1"/>
  <c r="O40" i="1" s="1"/>
  <c r="D40" i="1"/>
  <c r="P39" i="1" a="1"/>
  <c r="P39" i="1" s="1"/>
  <c r="O39" i="1" a="1"/>
  <c r="O39" i="1" s="1"/>
  <c r="D39" i="1"/>
  <c r="P38" i="1" a="1"/>
  <c r="P38" i="1" s="1"/>
  <c r="O38" i="1" a="1"/>
  <c r="O38" i="1" s="1"/>
  <c r="D38" i="1"/>
  <c r="P37" i="1" a="1"/>
  <c r="P37" i="1" s="1"/>
  <c r="O37" i="1" a="1"/>
  <c r="O37" i="1" s="1"/>
  <c r="D37" i="1"/>
  <c r="P36" i="1" a="1"/>
  <c r="P36" i="1" s="1"/>
  <c r="O36" i="1" a="1"/>
  <c r="O36" i="1" s="1"/>
  <c r="D36" i="1"/>
  <c r="P35" i="1" a="1"/>
  <c r="P35" i="1" s="1"/>
  <c r="O35" i="1" a="1"/>
  <c r="O35" i="1" s="1"/>
  <c r="D35" i="1"/>
  <c r="O34" i="1" a="1"/>
  <c r="O34" i="1" s="1"/>
  <c r="D34" i="1"/>
  <c r="P33" i="1" a="1"/>
  <c r="P33" i="1" s="1"/>
  <c r="O33" i="1" a="1"/>
  <c r="O33" i="1" s="1"/>
  <c r="D33" i="1"/>
  <c r="O32" i="1" a="1"/>
  <c r="O32" i="1" s="1"/>
  <c r="D32" i="1"/>
  <c r="P31" i="1" a="1"/>
  <c r="P31" i="1" s="1"/>
  <c r="O31" i="1" a="1"/>
  <c r="O31" i="1" s="1"/>
  <c r="D31" i="1"/>
  <c r="P30" i="1" a="1"/>
  <c r="P30" i="1" s="1"/>
  <c r="O30" i="1" a="1"/>
  <c r="O30" i="1" s="1"/>
  <c r="D30" i="1"/>
  <c r="Q29" i="1"/>
  <c r="J29" i="1"/>
  <c r="F29" i="1"/>
  <c r="D29" i="1"/>
  <c r="P28" i="1" a="1"/>
  <c r="P28" i="1" s="1"/>
  <c r="O28" i="1" a="1"/>
  <c r="O28" i="1" s="1"/>
  <c r="D28" i="1"/>
  <c r="P27" i="1" a="1"/>
  <c r="P27" i="1" s="1"/>
  <c r="O27" i="1" a="1"/>
  <c r="O27" i="1" s="1"/>
  <c r="D27" i="1"/>
  <c r="O26" i="1" a="1"/>
  <c r="O26" i="1" s="1"/>
  <c r="D26" i="1"/>
  <c r="P25" i="1" a="1"/>
  <c r="P25" i="1" s="1"/>
  <c r="O25" i="1" a="1"/>
  <c r="O25" i="1" s="1"/>
  <c r="D25" i="1"/>
  <c r="P24" i="1" a="1"/>
  <c r="P24" i="1" s="1"/>
  <c r="O24" i="1" a="1"/>
  <c r="O24" i="1" s="1"/>
  <c r="D24" i="1"/>
  <c r="D23" i="1"/>
  <c r="P22" i="1" a="1"/>
  <c r="P22" i="1" s="1"/>
  <c r="O22" i="1" a="1"/>
  <c r="O22" i="1" s="1"/>
  <c r="D22" i="1"/>
  <c r="O21" i="1" a="1"/>
  <c r="O21" i="1" s="1"/>
  <c r="D21" i="1"/>
  <c r="P20" i="1" a="1"/>
  <c r="P20" i="1" s="1"/>
  <c r="O20" i="1" a="1"/>
  <c r="O20" i="1" s="1"/>
  <c r="D20" i="1"/>
  <c r="P19" i="1" a="1"/>
  <c r="P19" i="1" s="1"/>
  <c r="O19" i="1" a="1"/>
  <c r="O19" i="1" s="1"/>
  <c r="D19" i="1"/>
  <c r="Q18" i="1"/>
  <c r="J18" i="1"/>
  <c r="J17" i="1" s="1"/>
  <c r="J16" i="1" s="1"/>
  <c r="F18" i="1"/>
  <c r="D18" i="1"/>
  <c r="F17" i="1"/>
  <c r="D17" i="1"/>
  <c r="F16" i="1"/>
  <c r="D16" i="1"/>
  <c r="D15" i="1"/>
  <c r="D14" i="1"/>
  <c r="D13" i="1"/>
  <c r="D12" i="1"/>
  <c r="Q11" i="1"/>
  <c r="P11" i="1"/>
  <c r="O11" i="1"/>
  <c r="J11" i="1"/>
  <c r="F11" i="1"/>
  <c r="D11" i="1"/>
  <c r="P10" i="1" a="1"/>
  <c r="P10" i="1" s="1"/>
  <c r="O10" i="1" a="1"/>
  <c r="O10" i="1" s="1"/>
  <c r="D10" i="1"/>
  <c r="D9" i="1"/>
  <c r="P8" i="1" a="1"/>
  <c r="P8" i="1" s="1"/>
  <c r="O8" i="1" a="1"/>
  <c r="O8" i="1" s="1"/>
  <c r="D8" i="1"/>
  <c r="P7" i="1" a="1"/>
  <c r="P7" i="1" s="1"/>
  <c r="O7" i="1" a="1"/>
  <c r="O7" i="1" s="1"/>
  <c r="G7" i="1"/>
  <c r="H7" i="1" s="1"/>
  <c r="G8" i="1" s="1"/>
  <c r="H8" i="1" s="1"/>
  <c r="G9" i="1" s="1"/>
  <c r="H9" i="1" s="1"/>
  <c r="G10" i="1" s="1"/>
  <c r="H10" i="1" s="1"/>
  <c r="D7" i="1"/>
  <c r="H6" i="1"/>
  <c r="D6" i="1"/>
  <c r="Q5" i="1"/>
  <c r="Q4" i="1" s="1"/>
  <c r="G5" i="1"/>
  <c r="H5" i="1" s="1"/>
  <c r="F5" i="1"/>
  <c r="D5" i="1"/>
  <c r="G4" i="1"/>
  <c r="F4" i="1"/>
  <c r="F3" i="1" s="1"/>
  <c r="D4" i="1"/>
  <c r="Q3" i="1"/>
  <c r="J3" i="1"/>
  <c r="G3" i="1"/>
  <c r="D3" i="1"/>
  <c r="G2" i="1"/>
  <c r="D2" i="1"/>
  <c r="P411" i="1" a="1"/>
  <c r="P391" i="1" a="1"/>
  <c r="P338" i="1" a="1"/>
  <c r="P320" i="1" a="1"/>
  <c r="P276" i="1" a="1"/>
  <c r="P238" i="1" a="1"/>
  <c r="O218" i="1" a="1"/>
  <c r="P431" i="1" a="1"/>
  <c r="P370" i="1" a="1"/>
  <c r="P368" i="1" a="1"/>
  <c r="P353" i="1" a="1"/>
  <c r="P325" i="1" a="1"/>
  <c r="O281" i="1" a="1"/>
  <c r="P211" i="1" a="1"/>
  <c r="P363" i="1" a="1"/>
  <c r="O320" i="1" a="1"/>
  <c r="O276" i="1" a="1"/>
  <c r="P254" i="1" a="1"/>
  <c r="P248" i="1" a="1"/>
  <c r="P204" i="1" a="1"/>
  <c r="P184" i="1" a="1"/>
  <c r="P386" i="1" a="1"/>
  <c r="O368" i="1" a="1"/>
  <c r="O353" i="1" a="1"/>
  <c r="P341" i="1" a="1"/>
  <c r="P333" i="1" a="1"/>
  <c r="P271" i="1" a="1"/>
  <c r="P259" i="1" a="1"/>
  <c r="P397" i="1" a="1"/>
  <c r="O254" i="1" a="1"/>
  <c r="P252" i="1" a="1"/>
  <c r="O248" i="1" a="1"/>
  <c r="P437" i="1" a="1"/>
  <c r="P339" i="1" a="1"/>
  <c r="O333" i="1" a="1"/>
  <c r="P331" i="1" a="1"/>
  <c r="O271" i="1" a="1"/>
  <c r="O259" i="1" a="1"/>
  <c r="P427" i="1" a="1"/>
  <c r="O397" i="1" a="1"/>
  <c r="P344" i="1" a="1"/>
  <c r="P326" i="1" a="1"/>
  <c r="P262" i="1" a="1"/>
  <c r="O252" i="1" a="1"/>
  <c r="P212" i="1" a="1"/>
  <c r="P447" i="1" a="1"/>
  <c r="P400" i="1" a="1"/>
  <c r="P364" i="1" a="1"/>
  <c r="O339" i="1" a="1"/>
  <c r="P337" i="1" a="1"/>
  <c r="P275" i="1" a="1"/>
  <c r="P255" i="1" a="1"/>
  <c r="P387" i="1" a="1"/>
  <c r="P375" i="1" a="1"/>
  <c r="P324" i="1" a="1"/>
  <c r="O447" i="1" a="1"/>
  <c r="P445" i="1" a="1"/>
  <c r="P347" i="1" a="1"/>
  <c r="O337" i="1" a="1"/>
  <c r="P454" i="1" a="1"/>
  <c r="O387" i="1" a="1"/>
  <c r="P206" i="1" a="1"/>
  <c r="P172" i="1" a="1"/>
  <c r="P126" i="1" a="1"/>
  <c r="P116" i="1" a="1"/>
  <c r="P100" i="1" a="1"/>
  <c r="P26" i="1" a="1"/>
  <c r="P6" i="1" a="1"/>
  <c r="P354" i="1" a="1"/>
  <c r="P147" i="1" a="1"/>
  <c r="P429" i="1" a="1"/>
  <c r="P121" i="1" a="1"/>
  <c r="P89" i="1" a="1"/>
  <c r="O57" i="1" a="1"/>
  <c r="P41" i="1" a="1"/>
  <c r="P119" i="1" a="1"/>
  <c r="P65" i="1" a="1"/>
  <c r="P282" i="1" a="1"/>
  <c r="P154" i="1" a="1"/>
  <c r="P48" i="1" a="1"/>
  <c r="P97" i="1" a="1"/>
  <c r="P75" i="1" a="1"/>
  <c r="P240" i="1" a="1"/>
  <c r="P149" i="1" a="1"/>
  <c r="P34" i="1" a="1"/>
  <c r="O6" i="1" a="1"/>
  <c r="P9" i="1" a="1"/>
  <c r="P223" i="1" a="1"/>
  <c r="P32" i="1" a="1"/>
  <c r="P443" i="1" a="1"/>
  <c r="P235" i="1" a="1"/>
  <c r="P205" i="1" a="1"/>
  <c r="O9" i="1" a="1"/>
  <c r="P340" i="1" a="1"/>
  <c r="P189" i="1" a="1"/>
  <c r="P132" i="1" a="1"/>
  <c r="P187" i="1" a="1"/>
  <c r="P139" i="1" a="1"/>
  <c r="P111" i="1" a="1"/>
  <c r="O187" i="1" a="1"/>
  <c r="P127" i="1" a="1"/>
  <c r="P117" i="1" a="1"/>
  <c r="P218" i="1" a="1"/>
  <c r="O375" i="1" a="1"/>
  <c r="P260" i="1" a="1"/>
  <c r="P242" i="1" a="1"/>
  <c r="O117" i="1" a="1"/>
  <c r="P109" i="1" a="1"/>
  <c r="P56" i="1" a="1"/>
  <c r="P47" i="1" a="1"/>
  <c r="P153" i="1" a="1"/>
  <c r="P23" i="1" a="1"/>
  <c r="P180" i="1" a="1"/>
  <c r="P83" i="1" a="1"/>
  <c r="O109" i="1" a="1"/>
  <c r="P40" i="1" a="1"/>
  <c r="P21" i="1" a="1"/>
  <c r="O211" i="1" a="1"/>
  <c r="P99" i="1" a="1"/>
  <c r="O23" i="1" a="1"/>
  <c r="O235" i="1" a="1"/>
  <c r="O180" i="1" a="1"/>
  <c r="P281" i="1" a="1"/>
  <c r="P57" i="1" a="1"/>
  <c r="P178" i="1" a="1"/>
  <c r="O111" i="1" a="1"/>
  <c r="O176" i="1" l="1"/>
  <c r="O433" i="1"/>
  <c r="O111" i="1"/>
  <c r="P178" i="1"/>
  <c r="P176" i="1" s="1"/>
  <c r="P57" i="1"/>
  <c r="P281" i="1"/>
  <c r="O180" i="1"/>
  <c r="O235" i="1"/>
  <c r="O230" i="1" s="1"/>
  <c r="O23" i="1"/>
  <c r="O18" i="1" s="1"/>
  <c r="P99" i="1"/>
  <c r="O211" i="1"/>
  <c r="P21" i="1"/>
  <c r="P18" i="1" s="1"/>
  <c r="P40" i="1"/>
  <c r="O109" i="1"/>
  <c r="O103" i="1" s="1"/>
  <c r="P83" i="1"/>
  <c r="P79" i="1" s="1"/>
  <c r="P180" i="1"/>
  <c r="P23" i="1"/>
  <c r="P153" i="1"/>
  <c r="P151" i="1" s="1"/>
  <c r="P47" i="1"/>
  <c r="P56" i="1"/>
  <c r="P109" i="1"/>
  <c r="P103" i="1" s="1"/>
  <c r="O117" i="1"/>
  <c r="P242" i="1"/>
  <c r="P260" i="1"/>
  <c r="O375" i="1"/>
  <c r="O373" i="1" s="1"/>
  <c r="O372" i="1" s="1"/>
  <c r="P218" i="1"/>
  <c r="P215" i="1" s="1"/>
  <c r="P117" i="1"/>
  <c r="P127" i="1"/>
  <c r="O187" i="1"/>
  <c r="O182" i="1" s="1"/>
  <c r="P111" i="1"/>
  <c r="P139" i="1"/>
  <c r="P187" i="1"/>
  <c r="P132" i="1"/>
  <c r="P189" i="1"/>
  <c r="P340" i="1"/>
  <c r="O9" i="1"/>
  <c r="P205" i="1"/>
  <c r="P235" i="1"/>
  <c r="P230" i="1" s="1"/>
  <c r="P443" i="1"/>
  <c r="P32" i="1"/>
  <c r="P29" i="1" s="1"/>
  <c r="P223" i="1"/>
  <c r="P9" i="1"/>
  <c r="O6" i="1"/>
  <c r="O5" i="1" s="1"/>
  <c r="O4" i="1" s="1"/>
  <c r="O3" i="1" s="1"/>
  <c r="P34" i="1"/>
  <c r="P149" i="1"/>
  <c r="P240" i="1"/>
  <c r="P75" i="1"/>
  <c r="P97" i="1"/>
  <c r="P48" i="1"/>
  <c r="P154" i="1"/>
  <c r="P282" i="1"/>
  <c r="P65" i="1"/>
  <c r="P119" i="1"/>
  <c r="P41" i="1"/>
  <c r="O57" i="1"/>
  <c r="P89" i="1"/>
  <c r="P121" i="1"/>
  <c r="P429" i="1"/>
  <c r="P147" i="1"/>
  <c r="P354" i="1"/>
  <c r="P6" i="1"/>
  <c r="P5" i="1" s="1"/>
  <c r="P4" i="1" s="1"/>
  <c r="P3" i="1" s="1"/>
  <c r="P26" i="1"/>
  <c r="P100" i="1"/>
  <c r="P116" i="1"/>
  <c r="P114" i="1" s="1"/>
  <c r="P126" i="1"/>
  <c r="P123" i="1" s="1"/>
  <c r="P172" i="1"/>
  <c r="P206" i="1"/>
  <c r="O387" i="1"/>
  <c r="P454" i="1"/>
  <c r="O337" i="1"/>
  <c r="O335" i="1" s="1"/>
  <c r="P347" i="1"/>
  <c r="P445" i="1"/>
  <c r="O447" i="1"/>
  <c r="P324" i="1"/>
  <c r="P375" i="1"/>
  <c r="P373" i="1" s="1"/>
  <c r="P372" i="1" s="1"/>
  <c r="P387" i="1"/>
  <c r="P255" i="1"/>
  <c r="P275" i="1"/>
  <c r="P273" i="1" s="1"/>
  <c r="P337" i="1"/>
  <c r="P335" i="1" s="1"/>
  <c r="O339" i="1"/>
  <c r="P364" i="1"/>
  <c r="P400" i="1"/>
  <c r="P447" i="1"/>
  <c r="P212" i="1"/>
  <c r="O252" i="1"/>
  <c r="O251" i="1" s="1"/>
  <c r="O250" i="1" s="1"/>
  <c r="P262" i="1"/>
  <c r="P326" i="1"/>
  <c r="P344" i="1"/>
  <c r="O397" i="1"/>
  <c r="O393" i="1" s="1"/>
  <c r="P427" i="1"/>
  <c r="P421" i="1" s="1"/>
  <c r="O259" i="1"/>
  <c r="O271" i="1"/>
  <c r="P331" i="1"/>
  <c r="P329" i="1" s="1"/>
  <c r="O333" i="1"/>
  <c r="P339" i="1"/>
  <c r="P437" i="1"/>
  <c r="P433" i="1" s="1"/>
  <c r="O248" i="1"/>
  <c r="P252" i="1"/>
  <c r="P251" i="1" s="1"/>
  <c r="P250" i="1" s="1"/>
  <c r="O254" i="1"/>
  <c r="P397" i="1"/>
  <c r="P393" i="1" s="1"/>
  <c r="P259" i="1"/>
  <c r="P271" i="1"/>
  <c r="P333" i="1"/>
  <c r="P341" i="1"/>
  <c r="O353" i="1"/>
  <c r="O350" i="1" s="1"/>
  <c r="O368" i="1"/>
  <c r="O366" i="1" s="1"/>
  <c r="P386" i="1"/>
  <c r="P184" i="1"/>
  <c r="P182" i="1" s="1"/>
  <c r="P181" i="1" s="1"/>
  <c r="P204" i="1"/>
  <c r="P248" i="1"/>
  <c r="P254" i="1"/>
  <c r="O276" i="1"/>
  <c r="O273" i="1" s="1"/>
  <c r="O320" i="1"/>
  <c r="O311" i="1" s="1"/>
  <c r="P363" i="1"/>
  <c r="P211" i="1"/>
  <c r="O281" i="1"/>
  <c r="O278" i="1" s="1"/>
  <c r="P325" i="1"/>
  <c r="P353" i="1"/>
  <c r="P350" i="1" s="1"/>
  <c r="P368" i="1"/>
  <c r="P366" i="1" s="1"/>
  <c r="P370" i="1"/>
  <c r="P431" i="1"/>
  <c r="O218" i="1"/>
  <c r="O215" i="1" s="1"/>
  <c r="P238" i="1"/>
  <c r="P276" i="1"/>
  <c r="P320" i="1"/>
  <c r="P338" i="1"/>
  <c r="P391" i="1"/>
  <c r="P389" i="1" s="1"/>
  <c r="P411" i="1"/>
  <c r="P406" i="1" s="1"/>
  <c r="O123" i="1"/>
  <c r="O52" i="1"/>
  <c r="P52" i="1"/>
  <c r="O114" i="1"/>
  <c r="O113" i="1" s="1"/>
  <c r="J2" i="1"/>
  <c r="O29" i="1"/>
  <c r="O151" i="1"/>
  <c r="G11" i="1"/>
  <c r="G12" i="1"/>
  <c r="H12" i="1" s="1"/>
  <c r="G13" i="1" s="1"/>
  <c r="H13" i="1" s="1"/>
  <c r="G14" i="1" s="1"/>
  <c r="H14" i="1" s="1"/>
  <c r="G15" i="1" s="1"/>
  <c r="H15" i="1" s="1"/>
  <c r="P278" i="1"/>
  <c r="F249" i="1"/>
  <c r="P311" i="1"/>
  <c r="H4" i="1"/>
  <c r="I4" i="1"/>
  <c r="O79" i="1"/>
  <c r="Q17" i="1"/>
  <c r="Q16" i="1" s="1"/>
  <c r="I3" i="1"/>
  <c r="I5" i="1"/>
  <c r="J249" i="1"/>
  <c r="Q371" i="1"/>
  <c r="F2" i="1"/>
  <c r="O406" i="1"/>
  <c r="J388" i="1"/>
  <c r="H3" i="1"/>
  <c r="O421" i="1"/>
  <c r="Q249" i="1"/>
  <c r="O329" i="1"/>
  <c r="J371" i="1"/>
  <c r="O389" i="1"/>
  <c r="O449" i="1"/>
  <c r="O448" i="1" s="1"/>
  <c r="O354" i="1" a="1"/>
  <c r="O283" i="1" a="1"/>
  <c r="P283" i="1" a="1"/>
  <c r="O282" i="1" a="1"/>
  <c r="O454" i="1" a="1"/>
  <c r="P310" i="1" l="1"/>
  <c r="Q2" i="1"/>
  <c r="P113" i="1"/>
  <c r="O454" i="1"/>
  <c r="O282" i="1"/>
  <c r="P283" i="1"/>
  <c r="O283" i="1"/>
  <c r="O354" i="1"/>
  <c r="O17" i="1"/>
  <c r="O16" i="1" s="1"/>
  <c r="P112" i="1"/>
  <c r="O272" i="1"/>
  <c r="O249" i="1" s="1"/>
  <c r="H2" i="1"/>
  <c r="I2" i="1"/>
  <c r="P17" i="1"/>
  <c r="P16" i="1" s="1"/>
  <c r="G18" i="1"/>
  <c r="G19" i="1"/>
  <c r="H19" i="1" s="1"/>
  <c r="G20" i="1" s="1"/>
  <c r="H20" i="1" s="1"/>
  <c r="G21" i="1" s="1"/>
  <c r="H21" i="1" s="1"/>
  <c r="G22" i="1" s="1"/>
  <c r="H22" i="1" s="1"/>
  <c r="G23" i="1" s="1"/>
  <c r="H23" i="1" s="1"/>
  <c r="G24" i="1" s="1"/>
  <c r="H24" i="1" s="1"/>
  <c r="G25" i="1" s="1"/>
  <c r="H25" i="1" s="1"/>
  <c r="G26" i="1" s="1"/>
  <c r="H26" i="1" s="1"/>
  <c r="G27" i="1" s="1"/>
  <c r="H27" i="1" s="1"/>
  <c r="G28" i="1" s="1"/>
  <c r="H28" i="1" s="1"/>
  <c r="G17" i="1"/>
  <c r="G16" i="1"/>
  <c r="I11" i="1"/>
  <c r="H11" i="1"/>
  <c r="O181" i="1"/>
  <c r="O112" i="1" s="1"/>
  <c r="O334" i="1"/>
  <c r="P388" i="1"/>
  <c r="P371" i="1" s="1"/>
  <c r="P334" i="1"/>
  <c r="P272" i="1"/>
  <c r="O310" i="1"/>
  <c r="O388" i="1"/>
  <c r="O371" i="1" s="1"/>
  <c r="P249" i="1" l="1"/>
  <c r="P2" i="1" s="1"/>
  <c r="O2" i="1"/>
  <c r="I16" i="1"/>
  <c r="H16" i="1"/>
  <c r="I17" i="1"/>
  <c r="H17" i="1"/>
  <c r="G29" i="1"/>
  <c r="G30" i="1"/>
  <c r="H30" i="1" s="1"/>
  <c r="G31" i="1" s="1"/>
  <c r="H31" i="1" s="1"/>
  <c r="G32" i="1" s="1"/>
  <c r="H32" i="1" s="1"/>
  <c r="G33" i="1" s="1"/>
  <c r="H33" i="1" s="1"/>
  <c r="G34" i="1" s="1"/>
  <c r="H34" i="1" s="1"/>
  <c r="G35" i="1" s="1"/>
  <c r="H35" i="1" s="1"/>
  <c r="G36" i="1" s="1"/>
  <c r="H36" i="1" s="1"/>
  <c r="G37" i="1" s="1"/>
  <c r="H37" i="1" s="1"/>
  <c r="G38" i="1" s="1"/>
  <c r="H38" i="1" s="1"/>
  <c r="G39" i="1" s="1"/>
  <c r="H39" i="1" s="1"/>
  <c r="G40" i="1" s="1"/>
  <c r="H40" i="1" s="1"/>
  <c r="G41" i="1" s="1"/>
  <c r="H41" i="1" s="1"/>
  <c r="G42" i="1" s="1"/>
  <c r="H42" i="1" s="1"/>
  <c r="G43" i="1" s="1"/>
  <c r="H43" i="1" s="1"/>
  <c r="G44" i="1" s="1"/>
  <c r="H44" i="1" s="1"/>
  <c r="G45" i="1" s="1"/>
  <c r="H45" i="1" s="1"/>
  <c r="G46" i="1" s="1"/>
  <c r="H46" i="1" s="1"/>
  <c r="G47" i="1" s="1"/>
  <c r="H47" i="1" s="1"/>
  <c r="G48" i="1" s="1"/>
  <c r="H48" i="1" s="1"/>
  <c r="G49" i="1" s="1"/>
  <c r="H49" i="1" s="1"/>
  <c r="G50" i="1" s="1"/>
  <c r="H50" i="1" s="1"/>
  <c r="G51" i="1" s="1"/>
  <c r="H51" i="1" s="1"/>
  <c r="H18" i="1"/>
  <c r="I18" i="1"/>
  <c r="G52" i="1" l="1"/>
  <c r="G53" i="1"/>
  <c r="H53" i="1" s="1"/>
  <c r="G54" i="1" s="1"/>
  <c r="H54" i="1" s="1"/>
  <c r="G55" i="1" s="1"/>
  <c r="H55" i="1" s="1"/>
  <c r="G56" i="1" s="1"/>
  <c r="H56" i="1" s="1"/>
  <c r="G57" i="1" s="1"/>
  <c r="H57" i="1" s="1"/>
  <c r="G58" i="1" s="1"/>
  <c r="H58" i="1" s="1"/>
  <c r="G59" i="1" s="1"/>
  <c r="H59" i="1" s="1"/>
  <c r="G60" i="1" s="1"/>
  <c r="H60" i="1" s="1"/>
  <c r="G61" i="1" s="1"/>
  <c r="H61" i="1" s="1"/>
  <c r="G62" i="1" s="1"/>
  <c r="H62" i="1" s="1"/>
  <c r="G63" i="1" s="1"/>
  <c r="H63" i="1" s="1"/>
  <c r="G64" i="1" s="1"/>
  <c r="H64" i="1" s="1"/>
  <c r="G65" i="1" s="1"/>
  <c r="H65" i="1" s="1"/>
  <c r="G66" i="1" s="1"/>
  <c r="H66" i="1" s="1"/>
  <c r="G67" i="1" s="1"/>
  <c r="H67" i="1" s="1"/>
  <c r="G68" i="1" s="1"/>
  <c r="H68" i="1" s="1"/>
  <c r="G69" i="1" s="1"/>
  <c r="H69" i="1" s="1"/>
  <c r="G70" i="1" s="1"/>
  <c r="H70" i="1" s="1"/>
  <c r="G71" i="1" s="1"/>
  <c r="H71" i="1" s="1"/>
  <c r="G72" i="1" s="1"/>
  <c r="H72" i="1" s="1"/>
  <c r="G73" i="1" s="1"/>
  <c r="H73" i="1" s="1"/>
  <c r="G74" i="1" s="1"/>
  <c r="H74" i="1" s="1"/>
  <c r="G75" i="1" s="1"/>
  <c r="H75" i="1" s="1"/>
  <c r="G76" i="1" s="1"/>
  <c r="H76" i="1" s="1"/>
  <c r="G77" i="1" s="1"/>
  <c r="H77" i="1" s="1"/>
  <c r="G78" i="1" s="1"/>
  <c r="H78" i="1" s="1"/>
  <c r="I29" i="1"/>
  <c r="H29" i="1"/>
  <c r="G79" i="1" l="1"/>
  <c r="G80" i="1"/>
  <c r="H80" i="1" s="1"/>
  <c r="G81" i="1" s="1"/>
  <c r="H81" i="1" s="1"/>
  <c r="G82" i="1" s="1"/>
  <c r="H82" i="1" s="1"/>
  <c r="G83" i="1" s="1"/>
  <c r="H83" i="1" s="1"/>
  <c r="G84" i="1" s="1"/>
  <c r="H84" i="1" s="1"/>
  <c r="G85" i="1" s="1"/>
  <c r="H85" i="1" s="1"/>
  <c r="G86" i="1" s="1"/>
  <c r="H86" i="1" s="1"/>
  <c r="G87" i="1" s="1"/>
  <c r="H87" i="1" s="1"/>
  <c r="G88" i="1" s="1"/>
  <c r="H88" i="1" s="1"/>
  <c r="G89" i="1" s="1"/>
  <c r="H89" i="1" s="1"/>
  <c r="G90" i="1" s="1"/>
  <c r="H90" i="1" s="1"/>
  <c r="G91" i="1" s="1"/>
  <c r="H91" i="1" s="1"/>
  <c r="G92" i="1" s="1"/>
  <c r="H92" i="1" s="1"/>
  <c r="G93" i="1" s="1"/>
  <c r="H93" i="1" s="1"/>
  <c r="G94" i="1" s="1"/>
  <c r="H94" i="1" s="1"/>
  <c r="G95" i="1" s="1"/>
  <c r="H95" i="1" s="1"/>
  <c r="G96" i="1" s="1"/>
  <c r="H96" i="1" s="1"/>
  <c r="G97" i="1" s="1"/>
  <c r="H97" i="1" s="1"/>
  <c r="G98" i="1" s="1"/>
  <c r="H98" i="1" s="1"/>
  <c r="G99" i="1" s="1"/>
  <c r="H99" i="1" s="1"/>
  <c r="G100" i="1" s="1"/>
  <c r="H100" i="1" s="1"/>
  <c r="G101" i="1" s="1"/>
  <c r="H101" i="1" s="1"/>
  <c r="G102" i="1" s="1"/>
  <c r="H102" i="1" s="1"/>
  <c r="I52" i="1"/>
  <c r="H52" i="1"/>
  <c r="G103" i="1" l="1"/>
  <c r="G104" i="1"/>
  <c r="H104" i="1" s="1"/>
  <c r="G105" i="1" s="1"/>
  <c r="H105" i="1" s="1"/>
  <c r="G106" i="1" s="1"/>
  <c r="H106" i="1" s="1"/>
  <c r="G107" i="1" s="1"/>
  <c r="H107" i="1" s="1"/>
  <c r="G108" i="1" s="1"/>
  <c r="H108" i="1" s="1"/>
  <c r="G109" i="1" s="1"/>
  <c r="H109" i="1" s="1"/>
  <c r="G110" i="1" s="1"/>
  <c r="H110" i="1" s="1"/>
  <c r="G111" i="1" s="1"/>
  <c r="H111" i="1" s="1"/>
  <c r="I79" i="1"/>
  <c r="H79" i="1"/>
  <c r="G112" i="1" l="1"/>
  <c r="G113" i="1"/>
  <c r="G115" i="1"/>
  <c r="H115" i="1" s="1"/>
  <c r="G116" i="1" s="1"/>
  <c r="H116" i="1" s="1"/>
  <c r="G117" i="1" s="1"/>
  <c r="H117" i="1" s="1"/>
  <c r="G118" i="1" s="1"/>
  <c r="H118" i="1" s="1"/>
  <c r="G119" i="1" s="1"/>
  <c r="H119" i="1" s="1"/>
  <c r="G120" i="1" s="1"/>
  <c r="H120" i="1" s="1"/>
  <c r="G121" i="1" s="1"/>
  <c r="H121" i="1" s="1"/>
  <c r="G122" i="1" s="1"/>
  <c r="H122" i="1" s="1"/>
  <c r="G114" i="1"/>
  <c r="I103" i="1"/>
  <c r="H103" i="1"/>
  <c r="H114" i="1" l="1"/>
  <c r="I114" i="1"/>
  <c r="G123" i="1"/>
  <c r="G124" i="1"/>
  <c r="H124" i="1" s="1"/>
  <c r="G125" i="1" s="1"/>
  <c r="H125" i="1" s="1"/>
  <c r="G126" i="1" s="1"/>
  <c r="H126" i="1" s="1"/>
  <c r="G127" i="1" s="1"/>
  <c r="H127" i="1" s="1"/>
  <c r="G128" i="1" s="1"/>
  <c r="H128" i="1" s="1"/>
  <c r="G129" i="1" s="1"/>
  <c r="H129" i="1" s="1"/>
  <c r="G130" i="1" s="1"/>
  <c r="H130" i="1" s="1"/>
  <c r="G131" i="1" s="1"/>
  <c r="H131" i="1" s="1"/>
  <c r="G132" i="1" s="1"/>
  <c r="H132" i="1" s="1"/>
  <c r="G133" i="1" s="1"/>
  <c r="H133" i="1" s="1"/>
  <c r="G134" i="1" s="1"/>
  <c r="H134" i="1" s="1"/>
  <c r="G135" i="1" s="1"/>
  <c r="H135" i="1" s="1"/>
  <c r="G136" i="1" s="1"/>
  <c r="H136" i="1" s="1"/>
  <c r="G137" i="1" s="1"/>
  <c r="H137" i="1" s="1"/>
  <c r="G138" i="1" s="1"/>
  <c r="H138" i="1" s="1"/>
  <c r="G139" i="1" s="1"/>
  <c r="H139" i="1" s="1"/>
  <c r="G140" i="1" s="1"/>
  <c r="H140" i="1" s="1"/>
  <c r="G141" i="1" s="1"/>
  <c r="H141" i="1" s="1"/>
  <c r="G142" i="1" s="1"/>
  <c r="H142" i="1" s="1"/>
  <c r="G143" i="1" s="1"/>
  <c r="H143" i="1" s="1"/>
  <c r="G144" i="1" s="1"/>
  <c r="H144" i="1" s="1"/>
  <c r="G145" i="1" s="1"/>
  <c r="H145" i="1" s="1"/>
  <c r="G146" i="1" s="1"/>
  <c r="H146" i="1" s="1"/>
  <c r="G147" i="1" s="1"/>
  <c r="H147" i="1" s="1"/>
  <c r="G148" i="1" s="1"/>
  <c r="H148" i="1" s="1"/>
  <c r="G149" i="1" s="1"/>
  <c r="H149" i="1" s="1"/>
  <c r="G150" i="1" s="1"/>
  <c r="H150" i="1" s="1"/>
  <c r="H113" i="1"/>
  <c r="I113" i="1"/>
  <c r="H112" i="1"/>
  <c r="I112" i="1"/>
  <c r="G152" i="1" l="1"/>
  <c r="H152" i="1" s="1"/>
  <c r="G153" i="1" s="1"/>
  <c r="H153" i="1" s="1"/>
  <c r="G154" i="1" s="1"/>
  <c r="H154" i="1" s="1"/>
  <c r="G155" i="1" s="1"/>
  <c r="H155" i="1" s="1"/>
  <c r="G156" i="1" s="1"/>
  <c r="H156" i="1" s="1"/>
  <c r="G157" i="1" s="1"/>
  <c r="H157" i="1" s="1"/>
  <c r="G158" i="1" s="1"/>
  <c r="H158" i="1" s="1"/>
  <c r="G159" i="1" s="1"/>
  <c r="H159" i="1" s="1"/>
  <c r="G160" i="1" s="1"/>
  <c r="H160" i="1" s="1"/>
  <c r="G161" i="1" s="1"/>
  <c r="H161" i="1" s="1"/>
  <c r="G162" i="1" s="1"/>
  <c r="H162" i="1" s="1"/>
  <c r="G163" i="1" s="1"/>
  <c r="H163" i="1" s="1"/>
  <c r="G164" i="1" s="1"/>
  <c r="H164" i="1" s="1"/>
  <c r="G165" i="1" s="1"/>
  <c r="H165" i="1" s="1"/>
  <c r="G166" i="1" s="1"/>
  <c r="H166" i="1" s="1"/>
  <c r="G167" i="1" s="1"/>
  <c r="H167" i="1" s="1"/>
  <c r="G168" i="1" s="1"/>
  <c r="H168" i="1" s="1"/>
  <c r="G169" i="1" s="1"/>
  <c r="H169" i="1" s="1"/>
  <c r="G170" i="1" s="1"/>
  <c r="H170" i="1" s="1"/>
  <c r="G171" i="1" s="1"/>
  <c r="H171" i="1" s="1"/>
  <c r="G172" i="1" s="1"/>
  <c r="H172" i="1" s="1"/>
  <c r="G173" i="1" s="1"/>
  <c r="H173" i="1" s="1"/>
  <c r="G174" i="1" s="1"/>
  <c r="H174" i="1" s="1"/>
  <c r="G175" i="1" s="1"/>
  <c r="H175" i="1" s="1"/>
  <c r="G151" i="1"/>
  <c r="I123" i="1"/>
  <c r="H123" i="1"/>
  <c r="I151" i="1" l="1"/>
  <c r="H151" i="1"/>
  <c r="G176" i="1"/>
  <c r="G177" i="1"/>
  <c r="H177" i="1" s="1"/>
  <c r="G178" i="1" s="1"/>
  <c r="H178" i="1" s="1"/>
  <c r="G179" i="1" s="1"/>
  <c r="H179" i="1" s="1"/>
  <c r="G180" i="1" s="1"/>
  <c r="H180" i="1" s="1"/>
  <c r="G181" i="1" l="1"/>
  <c r="G183" i="1"/>
  <c r="H183" i="1" s="1"/>
  <c r="G184" i="1" s="1"/>
  <c r="H184" i="1" s="1"/>
  <c r="G185" i="1" s="1"/>
  <c r="H185" i="1" s="1"/>
  <c r="G186" i="1" s="1"/>
  <c r="H186" i="1" s="1"/>
  <c r="G187" i="1" s="1"/>
  <c r="H187" i="1" s="1"/>
  <c r="G188" i="1" s="1"/>
  <c r="H188" i="1" s="1"/>
  <c r="G189" i="1" s="1"/>
  <c r="H189" i="1" s="1"/>
  <c r="G190" i="1" s="1"/>
  <c r="H190" i="1" s="1"/>
  <c r="G191" i="1" s="1"/>
  <c r="H191" i="1" s="1"/>
  <c r="G192" i="1" s="1"/>
  <c r="H192" i="1" s="1"/>
  <c r="G193" i="1" s="1"/>
  <c r="H193" i="1" s="1"/>
  <c r="G194" i="1" s="1"/>
  <c r="H194" i="1" s="1"/>
  <c r="G195" i="1" s="1"/>
  <c r="H195" i="1" s="1"/>
  <c r="G196" i="1" s="1"/>
  <c r="H196" i="1" s="1"/>
  <c r="G197" i="1" s="1"/>
  <c r="H197" i="1" s="1"/>
  <c r="G198" i="1" s="1"/>
  <c r="H198" i="1" s="1"/>
  <c r="G199" i="1" s="1"/>
  <c r="H199" i="1" s="1"/>
  <c r="G200" i="1" s="1"/>
  <c r="H200" i="1" s="1"/>
  <c r="G201" i="1" s="1"/>
  <c r="H201" i="1" s="1"/>
  <c r="G202" i="1" s="1"/>
  <c r="H202" i="1" s="1"/>
  <c r="G203" i="1" s="1"/>
  <c r="H203" i="1" s="1"/>
  <c r="G204" i="1" s="1"/>
  <c r="H204" i="1" s="1"/>
  <c r="G205" i="1" s="1"/>
  <c r="H205" i="1" s="1"/>
  <c r="G206" i="1" s="1"/>
  <c r="H206" i="1" s="1"/>
  <c r="G207" i="1" s="1"/>
  <c r="H207" i="1" s="1"/>
  <c r="G208" i="1" s="1"/>
  <c r="H208" i="1" s="1"/>
  <c r="G209" i="1" s="1"/>
  <c r="H209" i="1" s="1"/>
  <c r="G210" i="1" s="1"/>
  <c r="H210" i="1" s="1"/>
  <c r="G211" i="1" s="1"/>
  <c r="H211" i="1" s="1"/>
  <c r="G212" i="1" s="1"/>
  <c r="H212" i="1" s="1"/>
  <c r="G213" i="1" s="1"/>
  <c r="H213" i="1" s="1"/>
  <c r="G214" i="1" s="1"/>
  <c r="H214" i="1" s="1"/>
  <c r="G182" i="1"/>
  <c r="I176" i="1"/>
  <c r="H176" i="1"/>
  <c r="G215" i="1" l="1"/>
  <c r="G216" i="1"/>
  <c r="H216" i="1" s="1"/>
  <c r="G217" i="1" s="1"/>
  <c r="H217" i="1" s="1"/>
  <c r="G218" i="1" s="1"/>
  <c r="H218" i="1" s="1"/>
  <c r="G219" i="1" s="1"/>
  <c r="H219" i="1" s="1"/>
  <c r="G220" i="1" s="1"/>
  <c r="H220" i="1" s="1"/>
  <c r="G221" i="1" s="1"/>
  <c r="H221" i="1" s="1"/>
  <c r="G222" i="1" s="1"/>
  <c r="H222" i="1" s="1"/>
  <c r="G223" i="1" s="1"/>
  <c r="H223" i="1" s="1"/>
  <c r="G224" i="1" s="1"/>
  <c r="H224" i="1" s="1"/>
  <c r="G225" i="1" s="1"/>
  <c r="H225" i="1" s="1"/>
  <c r="G226" i="1" s="1"/>
  <c r="H226" i="1" s="1"/>
  <c r="G227" i="1" s="1"/>
  <c r="H227" i="1" s="1"/>
  <c r="G228" i="1" s="1"/>
  <c r="H228" i="1" s="1"/>
  <c r="G229" i="1" s="1"/>
  <c r="H229" i="1" s="1"/>
  <c r="I182" i="1"/>
  <c r="H182" i="1"/>
  <c r="I181" i="1"/>
  <c r="H181" i="1"/>
  <c r="G230" i="1" l="1"/>
  <c r="G231" i="1"/>
  <c r="H231" i="1" s="1"/>
  <c r="G232" i="1" s="1"/>
  <c r="H232" i="1" s="1"/>
  <c r="G233" i="1" s="1"/>
  <c r="H233" i="1" s="1"/>
  <c r="G234" i="1" s="1"/>
  <c r="H234" i="1" s="1"/>
  <c r="G235" i="1" s="1"/>
  <c r="H235" i="1" s="1"/>
  <c r="G236" i="1" s="1"/>
  <c r="H236" i="1" s="1"/>
  <c r="G237" i="1" s="1"/>
  <c r="H237" i="1" s="1"/>
  <c r="G238" i="1" s="1"/>
  <c r="H238" i="1" s="1"/>
  <c r="G239" i="1" s="1"/>
  <c r="H239" i="1" s="1"/>
  <c r="G240" i="1" s="1"/>
  <c r="H240" i="1" s="1"/>
  <c r="G241" i="1" s="1"/>
  <c r="H241" i="1" s="1"/>
  <c r="G242" i="1" s="1"/>
  <c r="H242" i="1" s="1"/>
  <c r="G243" i="1" s="1"/>
  <c r="H243" i="1" s="1"/>
  <c r="G244" i="1" s="1"/>
  <c r="H244" i="1" s="1"/>
  <c r="G245" i="1" s="1"/>
  <c r="H245" i="1" s="1"/>
  <c r="G246" i="1" s="1"/>
  <c r="H246" i="1" s="1"/>
  <c r="G247" i="1" s="1"/>
  <c r="H247" i="1" s="1"/>
  <c r="G248" i="1" s="1"/>
  <c r="H248" i="1" s="1"/>
  <c r="H215" i="1"/>
  <c r="I215" i="1"/>
  <c r="G250" i="1" l="1"/>
  <c r="G251" i="1"/>
  <c r="G249" i="1"/>
  <c r="G252" i="1"/>
  <c r="H252" i="1" s="1"/>
  <c r="G253" i="1" s="1"/>
  <c r="H253" i="1" s="1"/>
  <c r="G254" i="1" s="1"/>
  <c r="H254" i="1" s="1"/>
  <c r="G255" i="1" s="1"/>
  <c r="H255" i="1" s="1"/>
  <c r="G256" i="1" s="1"/>
  <c r="H256" i="1" s="1"/>
  <c r="G257" i="1" s="1"/>
  <c r="H257" i="1" s="1"/>
  <c r="G258" i="1" s="1"/>
  <c r="H258" i="1" s="1"/>
  <c r="G259" i="1" s="1"/>
  <c r="H259" i="1" s="1"/>
  <c r="G260" i="1" s="1"/>
  <c r="H260" i="1" s="1"/>
  <c r="G261" i="1" s="1"/>
  <c r="H261" i="1" s="1"/>
  <c r="G262" i="1" s="1"/>
  <c r="H262" i="1" s="1"/>
  <c r="G263" i="1" s="1"/>
  <c r="H263" i="1" s="1"/>
  <c r="G264" i="1" s="1"/>
  <c r="H264" i="1" s="1"/>
  <c r="G265" i="1" s="1"/>
  <c r="H265" i="1" s="1"/>
  <c r="G266" i="1" s="1"/>
  <c r="H266" i="1" s="1"/>
  <c r="G267" i="1" s="1"/>
  <c r="H267" i="1" s="1"/>
  <c r="G268" i="1" s="1"/>
  <c r="H268" i="1" s="1"/>
  <c r="G269" i="1" s="1"/>
  <c r="H269" i="1" s="1"/>
  <c r="G270" i="1" s="1"/>
  <c r="H270" i="1" s="1"/>
  <c r="G271" i="1" s="1"/>
  <c r="H271" i="1" s="1"/>
  <c r="H230" i="1"/>
  <c r="I230" i="1"/>
  <c r="G273" i="1" l="1"/>
  <c r="G274" i="1"/>
  <c r="H274" i="1" s="1"/>
  <c r="G275" i="1" s="1"/>
  <c r="H275" i="1" s="1"/>
  <c r="G276" i="1" s="1"/>
  <c r="H276" i="1" s="1"/>
  <c r="G277" i="1" s="1"/>
  <c r="H277" i="1" s="1"/>
  <c r="G272" i="1"/>
  <c r="I249" i="1"/>
  <c r="H249" i="1"/>
  <c r="I251" i="1"/>
  <c r="H251" i="1"/>
  <c r="H250" i="1"/>
  <c r="I250" i="1"/>
  <c r="I273" i="1" l="1"/>
  <c r="H273" i="1"/>
  <c r="I272" i="1"/>
  <c r="H272" i="1"/>
  <c r="G278" i="1"/>
  <c r="G279" i="1"/>
  <c r="H279" i="1" s="1"/>
  <c r="G280" i="1" s="1"/>
  <c r="H280" i="1" s="1"/>
  <c r="G281" i="1" s="1"/>
  <c r="H281" i="1" s="1"/>
  <c r="G282" i="1" s="1"/>
  <c r="H282" i="1" s="1"/>
  <c r="G283" i="1" s="1"/>
  <c r="H283" i="1" s="1"/>
  <c r="G284" i="1" s="1"/>
  <c r="H284" i="1" s="1"/>
  <c r="G285" i="1" s="1"/>
  <c r="H285" i="1" s="1"/>
  <c r="G286" i="1" s="1"/>
  <c r="H286" i="1" s="1"/>
  <c r="G287" i="1" s="1"/>
  <c r="H287" i="1" s="1"/>
  <c r="G288" i="1" s="1"/>
  <c r="H288" i="1" s="1"/>
  <c r="G289" i="1" s="1"/>
  <c r="H289" i="1" s="1"/>
  <c r="G290" i="1" s="1"/>
  <c r="H290" i="1" s="1"/>
  <c r="G291" i="1" l="1"/>
  <c r="G292" i="1"/>
  <c r="H292" i="1" s="1"/>
  <c r="G293" i="1" s="1"/>
  <c r="H293" i="1" s="1"/>
  <c r="G294" i="1" s="1"/>
  <c r="H294" i="1" s="1"/>
  <c r="G295" i="1" s="1"/>
  <c r="H295" i="1" s="1"/>
  <c r="G296" i="1" s="1"/>
  <c r="H296" i="1" s="1"/>
  <c r="G297" i="1" s="1"/>
  <c r="H297" i="1" s="1"/>
  <c r="G298" i="1" s="1"/>
  <c r="H298" i="1" s="1"/>
  <c r="H278" i="1"/>
  <c r="I278" i="1"/>
  <c r="G300" i="1" l="1"/>
  <c r="H300" i="1" s="1"/>
  <c r="G301" i="1" s="1"/>
  <c r="H301" i="1" s="1"/>
  <c r="G302" i="1" s="1"/>
  <c r="H302" i="1" s="1"/>
  <c r="G303" i="1" s="1"/>
  <c r="H303" i="1" s="1"/>
  <c r="G304" i="1" s="1"/>
  <c r="H304" i="1" s="1"/>
  <c r="G305" i="1" s="1"/>
  <c r="H305" i="1" s="1"/>
  <c r="G306" i="1" s="1"/>
  <c r="H306" i="1" s="1"/>
  <c r="G307" i="1" s="1"/>
  <c r="H307" i="1" s="1"/>
  <c r="G308" i="1" s="1"/>
  <c r="H308" i="1" s="1"/>
  <c r="G309" i="1" s="1"/>
  <c r="H309" i="1" s="1"/>
  <c r="G299" i="1"/>
  <c r="I291" i="1"/>
  <c r="H291" i="1"/>
  <c r="I299" i="1" l="1"/>
  <c r="H299" i="1"/>
  <c r="G312" i="1"/>
  <c r="H312" i="1" s="1"/>
  <c r="G313" i="1" s="1"/>
  <c r="H313" i="1" s="1"/>
  <c r="G314" i="1" s="1"/>
  <c r="H314" i="1" s="1"/>
  <c r="G315" i="1" s="1"/>
  <c r="H315" i="1" s="1"/>
  <c r="G316" i="1" s="1"/>
  <c r="H316" i="1" s="1"/>
  <c r="G317" i="1" s="1"/>
  <c r="H317" i="1" s="1"/>
  <c r="G318" i="1" s="1"/>
  <c r="H318" i="1" s="1"/>
  <c r="G319" i="1" s="1"/>
  <c r="H319" i="1" s="1"/>
  <c r="G320" i="1" s="1"/>
  <c r="H320" i="1" s="1"/>
  <c r="G321" i="1" s="1"/>
  <c r="H321" i="1" s="1"/>
  <c r="G322" i="1" s="1"/>
  <c r="H322" i="1" s="1"/>
  <c r="G323" i="1" s="1"/>
  <c r="H323" i="1" s="1"/>
  <c r="G324" i="1" s="1"/>
  <c r="H324" i="1" s="1"/>
  <c r="G325" i="1" s="1"/>
  <c r="H325" i="1" s="1"/>
  <c r="G326" i="1" s="1"/>
  <c r="H326" i="1" s="1"/>
  <c r="G327" i="1" s="1"/>
  <c r="H327" i="1" s="1"/>
  <c r="G328" i="1" s="1"/>
  <c r="H328" i="1" s="1"/>
  <c r="G310" i="1"/>
  <c r="G311" i="1"/>
  <c r="I310" i="1" l="1"/>
  <c r="H310" i="1"/>
  <c r="G329" i="1"/>
  <c r="G330" i="1"/>
  <c r="H330" i="1" s="1"/>
  <c r="G331" i="1" s="1"/>
  <c r="H331" i="1" s="1"/>
  <c r="G332" i="1" s="1"/>
  <c r="H332" i="1" s="1"/>
  <c r="G333" i="1" s="1"/>
  <c r="H333" i="1" s="1"/>
  <c r="I311" i="1"/>
  <c r="H311" i="1"/>
  <c r="I329" i="1" l="1"/>
  <c r="H329" i="1"/>
  <c r="G335" i="1"/>
  <c r="G336" i="1"/>
  <c r="H336" i="1" s="1"/>
  <c r="G337" i="1" s="1"/>
  <c r="H337" i="1" s="1"/>
  <c r="G338" i="1" s="1"/>
  <c r="H338" i="1" s="1"/>
  <c r="G339" i="1" s="1"/>
  <c r="H339" i="1" s="1"/>
  <c r="G340" i="1" s="1"/>
  <c r="H340" i="1" s="1"/>
  <c r="G341" i="1" s="1"/>
  <c r="H341" i="1" s="1"/>
  <c r="G342" i="1" s="1"/>
  <c r="H342" i="1" s="1"/>
  <c r="G343" i="1" s="1"/>
  <c r="H343" i="1" s="1"/>
  <c r="G344" i="1" s="1"/>
  <c r="H344" i="1" s="1"/>
  <c r="G345" i="1" s="1"/>
  <c r="H345" i="1" s="1"/>
  <c r="G346" i="1" s="1"/>
  <c r="H346" i="1" s="1"/>
  <c r="G347" i="1" s="1"/>
  <c r="H347" i="1" s="1"/>
  <c r="G348" i="1" s="1"/>
  <c r="H348" i="1" s="1"/>
  <c r="G349" i="1" s="1"/>
  <c r="H349" i="1" s="1"/>
  <c r="G334" i="1"/>
  <c r="I334" i="1" l="1"/>
  <c r="H334" i="1"/>
  <c r="I335" i="1"/>
  <c r="H335" i="1"/>
  <c r="G350" i="1"/>
  <c r="G351" i="1"/>
  <c r="H351" i="1" s="1"/>
  <c r="G352" i="1" s="1"/>
  <c r="H352" i="1" s="1"/>
  <c r="G353" i="1" s="1"/>
  <c r="H353" i="1" s="1"/>
  <c r="G354" i="1" s="1"/>
  <c r="H354" i="1" s="1"/>
  <c r="G355" i="1" s="1"/>
  <c r="H355" i="1" s="1"/>
  <c r="G356" i="1" s="1"/>
  <c r="H356" i="1" s="1"/>
  <c r="G357" i="1" s="1"/>
  <c r="H357" i="1" s="1"/>
  <c r="G358" i="1" s="1"/>
  <c r="H358" i="1" s="1"/>
  <c r="G359" i="1" s="1"/>
  <c r="H359" i="1" s="1"/>
  <c r="G360" i="1" s="1"/>
  <c r="H360" i="1" s="1"/>
  <c r="G361" i="1" s="1"/>
  <c r="H361" i="1" s="1"/>
  <c r="G362" i="1" s="1"/>
  <c r="H362" i="1" s="1"/>
  <c r="G363" i="1" s="1"/>
  <c r="H363" i="1" s="1"/>
  <c r="G364" i="1" s="1"/>
  <c r="H364" i="1" s="1"/>
  <c r="G365" i="1" s="1"/>
  <c r="H365" i="1" s="1"/>
  <c r="G367" i="1" l="1"/>
  <c r="H367" i="1" s="1"/>
  <c r="G368" i="1" s="1"/>
  <c r="H368" i="1" s="1"/>
  <c r="G369" i="1" s="1"/>
  <c r="H369" i="1" s="1"/>
  <c r="G370" i="1" s="1"/>
  <c r="H370" i="1" s="1"/>
  <c r="G366" i="1"/>
  <c r="I350" i="1"/>
  <c r="H350" i="1"/>
  <c r="I366" i="1" l="1"/>
  <c r="H366" i="1"/>
  <c r="G372" i="1"/>
  <c r="G373" i="1"/>
  <c r="G374" i="1"/>
  <c r="H374" i="1" s="1"/>
  <c r="G375" i="1" s="1"/>
  <c r="H375" i="1" s="1"/>
  <c r="G376" i="1" s="1"/>
  <c r="H376" i="1" s="1"/>
  <c r="G377" i="1" s="1"/>
  <c r="H377" i="1" s="1"/>
  <c r="G378" i="1" s="1"/>
  <c r="H378" i="1" s="1"/>
  <c r="G379" i="1" s="1"/>
  <c r="H379" i="1" s="1"/>
  <c r="G380" i="1" s="1"/>
  <c r="H380" i="1" s="1"/>
  <c r="G381" i="1" s="1"/>
  <c r="H381" i="1" s="1"/>
  <c r="G382" i="1" s="1"/>
  <c r="H382" i="1" s="1"/>
  <c r="G383" i="1" s="1"/>
  <c r="H383" i="1" s="1"/>
  <c r="G384" i="1" s="1"/>
  <c r="H384" i="1" s="1"/>
  <c r="G385" i="1" s="1"/>
  <c r="H385" i="1" s="1"/>
  <c r="G386" i="1" s="1"/>
  <c r="H386" i="1" s="1"/>
  <c r="G387" i="1" s="1"/>
  <c r="H387" i="1" s="1"/>
  <c r="G371" i="1"/>
  <c r="G388" i="1" l="1"/>
  <c r="G389" i="1"/>
  <c r="G390" i="1"/>
  <c r="H390" i="1" s="1"/>
  <c r="G391" i="1" s="1"/>
  <c r="H391" i="1" s="1"/>
  <c r="G392" i="1" s="1"/>
  <c r="H392" i="1" s="1"/>
  <c r="I372" i="1"/>
  <c r="H372" i="1"/>
  <c r="I371" i="1"/>
  <c r="H371" i="1"/>
  <c r="I373" i="1"/>
  <c r="H373" i="1"/>
  <c r="G393" i="1" l="1"/>
  <c r="G394" i="1"/>
  <c r="H394" i="1" s="1"/>
  <c r="G395" i="1" s="1"/>
  <c r="H395" i="1" s="1"/>
  <c r="G396" i="1" s="1"/>
  <c r="H396" i="1" s="1"/>
  <c r="G397" i="1" s="1"/>
  <c r="H397" i="1" s="1"/>
  <c r="G398" i="1" s="1"/>
  <c r="H398" i="1" s="1"/>
  <c r="G399" i="1" s="1"/>
  <c r="H399" i="1" s="1"/>
  <c r="G400" i="1" s="1"/>
  <c r="H400" i="1" s="1"/>
  <c r="G401" i="1" s="1"/>
  <c r="H401" i="1" s="1"/>
  <c r="G402" i="1" s="1"/>
  <c r="H402" i="1" s="1"/>
  <c r="G403" i="1" s="1"/>
  <c r="H403" i="1" s="1"/>
  <c r="G404" i="1" s="1"/>
  <c r="H404" i="1" s="1"/>
  <c r="G405" i="1" s="1"/>
  <c r="H405" i="1" s="1"/>
  <c r="I389" i="1"/>
  <c r="H389" i="1"/>
  <c r="I388" i="1"/>
  <c r="H388" i="1"/>
  <c r="G406" i="1" l="1"/>
  <c r="G407" i="1"/>
  <c r="H407" i="1" s="1"/>
  <c r="G408" i="1" s="1"/>
  <c r="H408" i="1" s="1"/>
  <c r="G409" i="1" s="1"/>
  <c r="H409" i="1" s="1"/>
  <c r="G410" i="1" s="1"/>
  <c r="H410" i="1" s="1"/>
  <c r="G411" i="1" s="1"/>
  <c r="H411" i="1" s="1"/>
  <c r="G412" i="1" s="1"/>
  <c r="H412" i="1" s="1"/>
  <c r="G413" i="1" s="1"/>
  <c r="H413" i="1" s="1"/>
  <c r="G414" i="1" s="1"/>
  <c r="H414" i="1" s="1"/>
  <c r="G415" i="1" s="1"/>
  <c r="H415" i="1" s="1"/>
  <c r="G416" i="1" s="1"/>
  <c r="H416" i="1" s="1"/>
  <c r="G417" i="1" s="1"/>
  <c r="H417" i="1" s="1"/>
  <c r="G418" i="1" s="1"/>
  <c r="H418" i="1" s="1"/>
  <c r="G419" i="1" s="1"/>
  <c r="H419" i="1" s="1"/>
  <c r="G420" i="1" s="1"/>
  <c r="H420" i="1" s="1"/>
  <c r="H393" i="1"/>
  <c r="I393" i="1"/>
  <c r="G421" i="1" l="1"/>
  <c r="G422" i="1"/>
  <c r="H422" i="1" s="1"/>
  <c r="G423" i="1" s="1"/>
  <c r="H423" i="1" s="1"/>
  <c r="G424" i="1" s="1"/>
  <c r="H424" i="1" s="1"/>
  <c r="G425" i="1" s="1"/>
  <c r="H425" i="1" s="1"/>
  <c r="G426" i="1" s="1"/>
  <c r="H426" i="1" s="1"/>
  <c r="G427" i="1" s="1"/>
  <c r="H427" i="1" s="1"/>
  <c r="G428" i="1" s="1"/>
  <c r="H428" i="1" s="1"/>
  <c r="G429" i="1" s="1"/>
  <c r="H429" i="1" s="1"/>
  <c r="G430" i="1" s="1"/>
  <c r="H430" i="1" s="1"/>
  <c r="G431" i="1" s="1"/>
  <c r="H431" i="1" s="1"/>
  <c r="G432" i="1" s="1"/>
  <c r="H432" i="1" s="1"/>
  <c r="I406" i="1"/>
  <c r="H406" i="1"/>
  <c r="G433" i="1" l="1"/>
  <c r="G434" i="1"/>
  <c r="H434" i="1" s="1"/>
  <c r="G435" i="1" s="1"/>
  <c r="H435" i="1" s="1"/>
  <c r="G436" i="1" s="1"/>
  <c r="H436" i="1" s="1"/>
  <c r="G437" i="1" s="1"/>
  <c r="H437" i="1" s="1"/>
  <c r="G438" i="1" s="1"/>
  <c r="H438" i="1" s="1"/>
  <c r="G439" i="1" s="1"/>
  <c r="H439" i="1" s="1"/>
  <c r="G440" i="1" s="1"/>
  <c r="H440" i="1" s="1"/>
  <c r="G441" i="1" s="1"/>
  <c r="H441" i="1" s="1"/>
  <c r="G442" i="1" s="1"/>
  <c r="H442" i="1" s="1"/>
  <c r="G443" i="1" s="1"/>
  <c r="H443" i="1" s="1"/>
  <c r="G444" i="1" s="1"/>
  <c r="H444" i="1" s="1"/>
  <c r="G445" i="1" s="1"/>
  <c r="H445" i="1" s="1"/>
  <c r="G446" i="1" s="1"/>
  <c r="H446" i="1" s="1"/>
  <c r="G447" i="1" s="1"/>
  <c r="H447" i="1" s="1"/>
  <c r="I421" i="1"/>
  <c r="H421" i="1"/>
  <c r="G451" i="1" l="1"/>
  <c r="H451" i="1" s="1"/>
  <c r="G448" i="1"/>
  <c r="G449" i="1"/>
  <c r="G450" i="1"/>
  <c r="I433" i="1"/>
  <c r="H433" i="1"/>
  <c r="I448" i="1" l="1"/>
  <c r="H448" i="1"/>
  <c r="I450" i="1"/>
  <c r="H450" i="1"/>
  <c r="I449" i="1"/>
  <c r="H449" i="1"/>
  <c r="G453" i="1"/>
  <c r="H453" i="1" s="1"/>
  <c r="G454" i="1" s="1"/>
  <c r="H454" i="1" s="1"/>
  <c r="G452" i="1"/>
  <c r="I452" i="1" l="1"/>
  <c r="H4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<sst xmlns="http://schemas.openxmlformats.org/spreadsheetml/2006/main" count="2200" uniqueCount="604">
  <si>
    <t>Categoría</t>
  </si>
  <si>
    <t>Sub</t>
  </si>
  <si>
    <t>Actividad</t>
  </si>
  <si>
    <t>T(m)</t>
  </si>
  <si>
    <t>Inicio</t>
  </si>
  <si>
    <t>Final</t>
  </si>
  <si>
    <t>Notas</t>
  </si>
  <si>
    <t>Dist</t>
  </si>
  <si>
    <t>Pag</t>
  </si>
  <si>
    <t>Per</t>
  </si>
  <si>
    <t>Mon</t>
  </si>
  <si>
    <t>Precio</t>
  </si>
  <si>
    <t>Pagado</t>
  </si>
  <si>
    <t>Estimado</t>
  </si>
  <si>
    <t>Estado</t>
  </si>
  <si>
    <t>Resumen</t>
  </si>
  <si>
    <t>Itinerario</t>
  </si>
  <si>
    <t>History Tour 2023</t>
  </si>
  <si>
    <t>País</t>
  </si>
  <si>
    <t>Colombia</t>
  </si>
  <si>
    <t>Ciudad</t>
  </si>
  <si>
    <t>Bogota</t>
  </si>
  <si>
    <t>Día</t>
  </si>
  <si>
    <t>Día 0 - Preliminares</t>
  </si>
  <si>
    <t>Otros</t>
  </si>
  <si>
    <t>Nota</t>
  </si>
  <si>
    <t>Camisetas</t>
  </si>
  <si>
    <t>SI</t>
  </si>
  <si>
    <t>COP</t>
  </si>
  <si>
    <t>Saldo tour y crucero Egipto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</si>
  <si>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895 -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US 672.5 -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US 5370 -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>: US 4035</t>
    </r>
  </si>
  <si>
    <t>Cambiar dinero</t>
  </si>
  <si>
    <t>Comprar Dólares</t>
  </si>
  <si>
    <r>
      <t xml:space="preserve">• </t>
    </r>
    <r>
      <rPr>
        <b/>
        <sz val="8"/>
        <color theme="1"/>
        <rFont val="Calibri"/>
        <family val="2"/>
        <scheme val="minor"/>
      </rPr>
      <t>Total</t>
    </r>
    <r>
      <rPr>
        <sz val="8"/>
        <color theme="1"/>
        <rFont val="Calibri"/>
        <family val="2"/>
        <scheme val="minor"/>
      </rPr>
      <t>: USD 400</t>
    </r>
  </si>
  <si>
    <t>Imprimir Itinerario</t>
  </si>
  <si>
    <t>Actividades</t>
  </si>
  <si>
    <t>Día 1 - Viaje a Londres</t>
  </si>
  <si>
    <t>Descanso</t>
  </si>
  <si>
    <t>Transporte</t>
  </si>
  <si>
    <t>Transfer</t>
  </si>
  <si>
    <t>Casa - Aeropuerto El Dorado T1</t>
  </si>
  <si>
    <t>• Se solicita a través de las asistencias de la tarjeta de crédito.</t>
  </si>
  <si>
    <t>Aeropuerto</t>
  </si>
  <si>
    <t>Check + Mig + Esp</t>
  </si>
  <si>
    <t>CheckIn + Migración + Espera + Cena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</si>
  <si>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24 H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El Dorado Lounge - </t>
    </r>
    <r>
      <rPr>
        <b/>
        <sz val="8"/>
        <color theme="1"/>
        <rFont val="Calibri"/>
        <family val="2"/>
        <scheme val="minor"/>
      </rPr>
      <t>Estadía</t>
    </r>
    <r>
      <rPr>
        <sz val="8"/>
        <color theme="1"/>
        <rFont val="Calibri"/>
        <family val="2"/>
        <scheme val="minor"/>
      </rPr>
      <t xml:space="preserve">: 6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MasterCard</t>
    </r>
  </si>
  <si>
    <t>Avión</t>
  </si>
  <si>
    <t>Bogota (Colombia) - Londres (Reino unido)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</si>
  <si>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23:15 -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15:35 +1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AV120 -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Avianca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2EYEPQ - 28ZGTF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(10 kg - 55 x 35 x 25) + Art. personal (45 x 35 x 25) + 1 Factu (23 kg)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El Dorado T1 -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Heathrow T2</t>
    </r>
  </si>
  <si>
    <t>Inglaterra</t>
  </si>
  <si>
    <t>Londres</t>
  </si>
  <si>
    <t>Día 1 - Llegada a Londres</t>
  </si>
  <si>
    <t>Inmigración</t>
  </si>
  <si>
    <t>Comprar tarjeta Oyster</t>
  </si>
  <si>
    <t>• La tarjeta debe recargarse con £ 30.</t>
  </si>
  <si>
    <t>Metro</t>
  </si>
  <si>
    <t>Heathrow Airport - Stratford station</t>
  </si>
  <si>
    <r>
      <t xml:space="preserve">• Heathrow Terminals 2 &amp; 3 - [Picadelly (Azul) : Cockfosters - 21 : 2] - Holborn
• Holborn - [Central (Rojo) : Epping - 7 : 2] - Stratford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Tomar la Elizabeth line cuesta £ 12.8</t>
    </r>
  </si>
  <si>
    <t>NO</t>
  </si>
  <si>
    <t>GBP</t>
  </si>
  <si>
    <t>A pie</t>
  </si>
  <si>
    <t>Stratford station - Hotel</t>
  </si>
  <si>
    <t>Sitios</t>
  </si>
  <si>
    <t>Hotel</t>
  </si>
  <si>
    <t>Holiday Inn Express London Stratford</t>
  </si>
  <si>
    <r>
      <rPr>
        <sz val="8"/>
        <color rgb="FF366092"/>
        <rFont val="Calibri"/>
        <scheme val="minor"/>
      </rPr>
      <t xml:space="preserve">• </t>
    </r>
    <r>
      <rPr>
        <b/>
        <sz val="8"/>
        <color rgb="FF000000"/>
        <rFont val="Calibri"/>
        <scheme val="minor"/>
      </rPr>
      <t>Check In</t>
    </r>
    <r>
      <rPr>
        <sz val="8"/>
        <color rgb="FF000000"/>
        <rFont val="Calibri"/>
        <scheme val="minor"/>
      </rPr>
      <t xml:space="preserve">: 14:00 - </t>
    </r>
    <r>
      <rPr>
        <b/>
        <sz val="8"/>
        <color rgb="FF000000"/>
        <rFont val="Calibri"/>
        <scheme val="minor"/>
      </rPr>
      <t>Check Out:</t>
    </r>
    <r>
      <rPr>
        <sz val="8"/>
        <color rgb="FF000000"/>
        <rFont val="Calibri"/>
        <scheme val="minor"/>
      </rPr>
      <t xml:space="preserve"> 11:00 - </t>
    </r>
    <r>
      <rPr>
        <b/>
        <sz val="8"/>
        <color rgb="FF000000"/>
        <rFont val="Calibri"/>
        <scheme val="minor"/>
      </rPr>
      <t>Desayuno</t>
    </r>
    <r>
      <rPr>
        <sz val="8"/>
        <color rgb="FF000000"/>
        <rFont val="Calibri"/>
        <scheme val="minor"/>
      </rPr>
      <t xml:space="preserve">: Si - </t>
    </r>
    <r>
      <rPr>
        <b/>
        <sz val="8"/>
        <color rgb="FF000000"/>
        <rFont val="Calibri"/>
        <scheme val="minor"/>
      </rPr>
      <t>Camas</t>
    </r>
    <r>
      <rPr>
        <sz val="8"/>
        <color rgb="FF000000"/>
        <rFont val="Calibri"/>
        <scheme val="minor"/>
      </rPr>
      <t xml:space="preserve">: 1 x (2 Ind)
• </t>
    </r>
    <r>
      <rPr>
        <b/>
        <sz val="8"/>
        <color rgb="FF000000"/>
        <rFont val="Calibri"/>
        <scheme val="minor"/>
      </rPr>
      <t>Reserva</t>
    </r>
    <r>
      <rPr>
        <sz val="8"/>
        <color rgb="FF000000"/>
        <rFont val="Calibri"/>
        <scheme val="minor"/>
      </rPr>
      <t xml:space="preserve">: LEB8J3X8 - </t>
    </r>
    <r>
      <rPr>
        <b/>
        <sz val="8"/>
        <color rgb="FF000000"/>
        <rFont val="Calibri"/>
        <scheme val="minor"/>
      </rPr>
      <t>Sitio</t>
    </r>
    <r>
      <rPr>
        <sz val="8"/>
        <color rgb="FF000000"/>
        <rFont val="Calibri"/>
        <scheme val="minor"/>
      </rPr>
      <t xml:space="preserve">: LifeMiles Hotels 
• </t>
    </r>
    <r>
      <rPr>
        <b/>
        <sz val="8"/>
        <color rgb="FF000000"/>
        <rFont val="Calibri"/>
        <scheme val="minor"/>
      </rPr>
      <t>Dirección</t>
    </r>
    <r>
      <rPr>
        <sz val="8"/>
        <color rgb="FF000000"/>
        <rFont val="Calibri"/>
        <scheme val="minor"/>
      </rPr>
      <t>: 196 High Street, London, E15 2NE United Kingdom</t>
    </r>
  </si>
  <si>
    <t>Cambiar dolares por Libras Esterlinas</t>
  </si>
  <si>
    <r>
      <t xml:space="preserve">• </t>
    </r>
    <r>
      <rPr>
        <b/>
        <sz val="8"/>
        <color theme="1"/>
        <rFont val="Calibri"/>
        <family val="2"/>
        <scheme val="minor"/>
      </rPr>
      <t>Total requerido</t>
    </r>
    <r>
      <rPr>
        <sz val="8"/>
        <color theme="1"/>
        <rFont val="Calibri"/>
        <family val="2"/>
        <scheme val="minor"/>
      </rPr>
      <t xml:space="preserve">: £ 50 - </t>
    </r>
    <r>
      <rPr>
        <b/>
        <sz val="8"/>
        <color theme="1"/>
        <rFont val="Calibri"/>
        <family val="2"/>
        <scheme val="minor"/>
      </rPr>
      <t>Valor esperado</t>
    </r>
    <r>
      <rPr>
        <sz val="8"/>
        <color theme="1"/>
        <rFont val="Calibri"/>
        <family val="2"/>
        <scheme val="minor"/>
      </rPr>
      <t>: USD 65</t>
    </r>
  </si>
  <si>
    <t>Comprar</t>
  </si>
  <si>
    <t>Agua y provisiones</t>
  </si>
  <si>
    <t>• Comprar para cenar en el hotel. 
• Hay un Sainsbury's en el centro comercial.
• Hay algo llamado los Meal Deals que son ecomonicos.</t>
  </si>
  <si>
    <t>Alimentación</t>
  </si>
  <si>
    <t>Cena</t>
  </si>
  <si>
    <t>• Cenar en el hotel de lo que compramos.</t>
  </si>
  <si>
    <t>Día 2 - Kensington y Walking tour</t>
  </si>
  <si>
    <t>Desayuno</t>
  </si>
  <si>
    <t>• Incluido en el hotel.</t>
  </si>
  <si>
    <t>Bus</t>
  </si>
  <si>
    <t>Hotel - Trafalgar Square</t>
  </si>
  <si>
    <t>• Warton Road (Stop K) - [Bus 25 - City Thameslink - 18] - Aldgate East Station (Stop J)
• Aldgate East Station (Stop J) - [Bus 15 - Charing Cross - 17] - Charing Cross</t>
  </si>
  <si>
    <t>Plaza</t>
  </si>
  <si>
    <t>Trafalgar Square</t>
  </si>
  <si>
    <t>• En este punto esperamos el inicio del tour.</t>
  </si>
  <si>
    <t>Tour</t>
  </si>
  <si>
    <t>Free tour por Londres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</si>
  <si>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€ 0 -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>: € 0  -</t>
    </r>
    <r>
      <rPr>
        <b/>
        <sz val="8"/>
        <color theme="1"/>
        <rFont val="Calibri"/>
        <family val="2"/>
        <scheme val="minor"/>
      </rPr>
      <t xml:space="preserve"> Valor grup</t>
    </r>
    <r>
      <rPr>
        <sz val="8"/>
        <color theme="1"/>
        <rFont val="Calibri"/>
        <family val="2"/>
        <scheme val="minor"/>
      </rPr>
      <t xml:space="preserve">o: € 0 -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€ 0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18652575 - Idioma: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 xml:space="preserve">: https://www.civitatis.com/es/londres/free-tour-londres/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El tour sale de Trafalgar Square a las 10:00.</t>
    </r>
  </si>
  <si>
    <t>Parque</t>
  </si>
  <si>
    <t>St. James's Park</t>
  </si>
  <si>
    <t>• Se visita como parte del tour.</t>
  </si>
  <si>
    <t>Edificio histórico</t>
  </si>
  <si>
    <t>Buckingham Palace</t>
  </si>
  <si>
    <t>Palace of Westminster</t>
  </si>
  <si>
    <t>Big Ben</t>
  </si>
  <si>
    <t>Trafalgar Square - Candella Tea Room</t>
  </si>
  <si>
    <t>• Trafalgar Squ (Stop S) - [Bus 9 - Hammersmith - 14] - High Street Kensington (Stop F)</t>
  </si>
  <si>
    <t>Almuerzo</t>
  </si>
  <si>
    <t>Candella Tea Room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</si>
  <si>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11:00 - 18:00 -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13:45 -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>: Si</t>
    </r>
  </si>
  <si>
    <t>Candella Tea Room - Kensington Gardens</t>
  </si>
  <si>
    <t>Kensington Gardens</t>
  </si>
  <si>
    <t>• Solo atravesamos el parque para llegar al museo de historia natural.</t>
  </si>
  <si>
    <t>Kensington Gardens - Natural History Museum</t>
  </si>
  <si>
    <t>Museo</t>
  </si>
  <si>
    <t>Natural History Museum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</si>
  <si>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10:00 - 17:50 -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</t>
    </r>
    <r>
      <rPr>
        <sz val="8"/>
        <color theme="1"/>
        <rFont val="Calibri"/>
        <family val="2"/>
      </rPr>
      <t xml:space="preserve">£ </t>
    </r>
    <r>
      <rPr>
        <sz val="8"/>
        <color theme="1"/>
        <rFont val="Calibri"/>
        <family val="2"/>
        <scheme val="minor"/>
      </rPr>
      <t xml:space="preserve">0 - </t>
    </r>
    <r>
      <rPr>
        <b/>
        <sz val="8"/>
        <color theme="1"/>
        <rFont val="Calibri"/>
        <family val="2"/>
        <scheme val="minor"/>
      </rPr>
      <t xml:space="preserve">Hora: </t>
    </r>
    <r>
      <rPr>
        <sz val="8"/>
        <color theme="1"/>
        <rFont val="Calibri"/>
        <family val="2"/>
        <scheme val="minor"/>
      </rPr>
      <t xml:space="preserve">15:45 -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Orden ID</t>
    </r>
    <r>
      <rPr>
        <sz val="8"/>
        <color theme="1"/>
        <rFont val="Calibri"/>
        <family val="2"/>
        <scheme val="minor"/>
      </rPr>
      <t xml:space="preserve">: 3307972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No hay audioguías. Recorrer las diferentes salas con el mapa.</t>
    </r>
  </si>
  <si>
    <t>Victoria and Albert Museum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</si>
  <si>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10:00 - 17:45 -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£ 0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No vamos a ingresar.</t>
    </r>
  </si>
  <si>
    <t>Victoria and Albert Museum - Stratford station</t>
  </si>
  <si>
    <t>• South Kensington - [ Picadelly (Azul) : Cockfosters : 7 : 4] - Holborn
• Holborn - [Central (Rojo) : Hainault : 7 : 2] - Stratford</t>
  </si>
  <si>
    <t>Pret a Manger</t>
  </si>
  <si>
    <t>• Variedad de sandwiches.</t>
  </si>
  <si>
    <t>Cervecitas</t>
  </si>
  <si>
    <t>Día 3 - Explorar Westminster</t>
  </si>
  <si>
    <t>Hotel - Stratford station</t>
  </si>
  <si>
    <t>Stratford station - Westminster Abbey</t>
  </si>
  <si>
    <t>• Stratford - [Jubilee (Gris) : Stanmore : 10 : 13] - Westminster</t>
  </si>
  <si>
    <t>City Pass</t>
  </si>
  <si>
    <t>London Explorer Pass</t>
  </si>
  <si>
    <r>
      <t xml:space="preserve">• </t>
    </r>
    <r>
      <rPr>
        <b/>
        <sz val="8"/>
        <color theme="1"/>
        <rFont val="Calibri"/>
        <family val="2"/>
        <scheme val="minor"/>
      </rPr>
      <t>Sitios</t>
    </r>
    <r>
      <rPr>
        <sz val="8"/>
        <color theme="1"/>
        <rFont val="Calibri"/>
        <family val="2"/>
        <scheme val="minor"/>
      </rPr>
      <t xml:space="preserve">: Westminster Abbey, St. Paul's Cathedral, Tower of London y The SeaShell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Se descarga la aplicación pero no funciona, igual estan impresos.</t>
    </r>
  </si>
  <si>
    <t>Templo religioso</t>
  </si>
  <si>
    <t>Westminster Abbey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</si>
  <si>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09:30 - 15:30 -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Incluido en el Explorer Pass.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No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Si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 xml:space="preserve">: El tour se puede hacer usando la audioguia que entregan o con la aplicación. 
• </t>
    </r>
    <r>
      <rPr>
        <b/>
        <sz val="8"/>
        <color theme="1"/>
        <rFont val="Calibri"/>
        <family val="2"/>
        <scheme val="minor"/>
      </rPr>
      <t>Acceso</t>
    </r>
    <r>
      <rPr>
        <sz val="8"/>
        <color theme="1"/>
        <rFont val="Calibri"/>
        <family val="2"/>
        <scheme val="minor"/>
      </rPr>
      <t>: Se accede por North Green, que discurre entre la abadía y Broad Sanctuary.</t>
    </r>
  </si>
  <si>
    <t>Westminster Abbey - The National Gallery</t>
  </si>
  <si>
    <t>The National Gallery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</si>
  <si>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10:30 - 18:00 -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£ 0 -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11:00 -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Si
• </t>
    </r>
    <r>
      <rPr>
        <b/>
        <sz val="8"/>
        <color theme="1"/>
        <rFont val="Calibri"/>
        <family val="2"/>
        <scheme val="minor"/>
      </rPr>
      <t>Order ID</t>
    </r>
    <r>
      <rPr>
        <sz val="8"/>
        <color theme="1"/>
        <rFont val="Calibri"/>
        <family val="2"/>
        <scheme val="minor"/>
      </rPr>
      <t xml:space="preserve">: 3045154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Usar la aplicación Smartify para escanear las pinturas y recorrer el museo.</t>
    </r>
  </si>
  <si>
    <t>The National Gallery - Hard Rock</t>
  </si>
  <si>
    <t>Edificio</t>
  </si>
  <si>
    <t>Hard Rock Piccadilly Circus</t>
  </si>
  <si>
    <t>• Comprar la guitarra.</t>
  </si>
  <si>
    <t>Calle</t>
  </si>
  <si>
    <t>Piccadilly Circus</t>
  </si>
  <si>
    <t xml:space="preserve">• Es una pequeña plaza que hace de intersección de varias calles. </t>
  </si>
  <si>
    <t>Piccadilly Circus - Convent Garden</t>
  </si>
  <si>
    <t>Nando's Covent Garden</t>
  </si>
  <si>
    <t>• Pollo asado al estilo africano. Venden combos para dos personas.</t>
  </si>
  <si>
    <t>Mercado</t>
  </si>
  <si>
    <t>Convent Garden</t>
  </si>
  <si>
    <t>• Popular por su precioso mercado cubierto.</t>
  </si>
  <si>
    <t>Convent Garden - Neal's Yard</t>
  </si>
  <si>
    <t>Neal's Yard</t>
  </si>
  <si>
    <t>• Un oasis de color lleno de encanto. Dar un paseo por las calles.</t>
  </si>
  <si>
    <t>Neal's Yard - The British Museum</t>
  </si>
  <si>
    <t>The British Museum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</si>
  <si>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10:00 - 17:00 -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£ 0 -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15:00 -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Order ID</t>
    </r>
    <r>
      <rPr>
        <sz val="8"/>
        <color theme="1"/>
        <rFont val="Calibri"/>
        <family val="2"/>
        <scheme val="minor"/>
      </rPr>
      <t xml:space="preserve">: 1447156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La audioguia es paga. El mapa indica lo más relevante para ver.</t>
    </r>
  </si>
  <si>
    <t>The British Museum - Oxford St</t>
  </si>
  <si>
    <t>Oxford y Regent Street</t>
  </si>
  <si>
    <t>• Las dos calles comerciales más famosas que ver en Londres.</t>
  </si>
  <si>
    <t>Oxford St - The SeaShell of Lisson Grove</t>
  </si>
  <si>
    <r>
      <t xml:space="preserve">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Podemos caminar o tomar el metro que tarda 10.
• Oxford Circus - [Bakerloo (Marron) : Queen's Park : 3 : 4] - Marylebone</t>
    </r>
  </si>
  <si>
    <t>The SeaShell of Lisson Grove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</si>
  <si>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12:00 - 22:00 -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18:30 -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6703218
• </t>
    </r>
    <r>
      <rPr>
        <b/>
        <sz val="8"/>
        <color theme="1"/>
        <rFont val="Calibri"/>
        <family val="2"/>
        <scheme val="minor"/>
      </rPr>
      <t>¿Que incluye?</t>
    </r>
    <r>
      <rPr>
        <sz val="8"/>
        <color theme="1"/>
        <rFont val="Calibri"/>
        <family val="2"/>
        <scheme val="minor"/>
      </rPr>
      <t>: Fresh fish and chips, a pint of beer or a soft drink and an ice cream.</t>
    </r>
  </si>
  <si>
    <t>The SeaShell of Lisson Grove - Stratford station</t>
  </si>
  <si>
    <t>• Baker Street - [Jubilee (Gris) : Stratford : 13 : 7] - Stratford</t>
  </si>
  <si>
    <t>Día 4 - City of London y Southwark</t>
  </si>
  <si>
    <t>Stratford station - London Bridge Station</t>
  </si>
  <si>
    <t>• Stratford - [Jubilee (Gris) : Stanmore : 7 : 13] - London Bridge</t>
  </si>
  <si>
    <t>London Bridge Station - Tower Bridge</t>
  </si>
  <si>
    <t>Tower Bridge</t>
  </si>
  <si>
    <r>
      <t xml:space="preserve">• </t>
    </r>
    <r>
      <rPr>
        <b/>
        <sz val="8"/>
        <color theme="4" tint="-0.249977111117893"/>
        <rFont val="Calibri"/>
        <family val="2"/>
        <scheme val="minor"/>
      </rPr>
      <t>Horario</t>
    </r>
    <r>
      <rPr>
        <sz val="8"/>
        <color theme="4" tint="-0.249977111117893"/>
        <rFont val="Calibri"/>
        <family val="2"/>
        <scheme val="minor"/>
      </rPr>
      <t xml:space="preserve">: 09:30 - 18:00 - </t>
    </r>
    <r>
      <rPr>
        <b/>
        <sz val="8"/>
        <color theme="4" tint="-0.249977111117893"/>
        <rFont val="Calibri"/>
        <family val="2"/>
        <scheme val="minor"/>
      </rPr>
      <t>Nota</t>
    </r>
    <r>
      <rPr>
        <sz val="8"/>
        <color theme="4" tint="-0.249977111117893"/>
        <rFont val="Calibri"/>
        <family val="2"/>
        <scheme val="minor"/>
      </rPr>
      <t>: No ingresamos.</t>
    </r>
  </si>
  <si>
    <t>Tower Bridge - Tower of London</t>
  </si>
  <si>
    <t>Tower of London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</si>
  <si>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09:00 - 17:30 -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Incluido en el Explorer Pass.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 xml:space="preserve">: La audioguia es paga dentro del sitio.
• </t>
    </r>
    <r>
      <rPr>
        <b/>
        <sz val="8"/>
        <color theme="1"/>
        <rFont val="Calibri"/>
        <family val="2"/>
        <scheme val="minor"/>
      </rPr>
      <t>Acceso</t>
    </r>
    <r>
      <rPr>
        <sz val="8"/>
        <color theme="1"/>
        <rFont val="Calibri"/>
        <family val="2"/>
        <scheme val="minor"/>
      </rPr>
      <t xml:space="preserve">: Middle Tower (frente a la tienda de regalos). Ponte en la fila de </t>
    </r>
    <r>
      <rPr>
        <i/>
        <sz val="8"/>
        <color theme="1"/>
        <rFont val="Calibri"/>
        <family val="2"/>
        <scheme val="minor"/>
      </rPr>
      <t>bought tickets</t>
    </r>
    <r>
      <rPr>
        <sz val="8"/>
        <color theme="1"/>
        <rFont val="Calibri"/>
        <family val="2"/>
        <scheme val="minor"/>
      </rPr>
      <t>.</t>
    </r>
  </si>
  <si>
    <t>Tower of London - Pizza Pilgrims</t>
  </si>
  <si>
    <t>Pizza Pilgrims</t>
  </si>
  <si>
    <t>• Recomendadas como una de las mejores pizas de Londres.</t>
  </si>
  <si>
    <t>Leadenhall Market</t>
  </si>
  <si>
    <t>• El mercado sirvió de inspiración para crear el Callejón Diagon de Harry Potter.</t>
  </si>
  <si>
    <t>Leadenhall Market - St. Paul's Cathedral</t>
  </si>
  <si>
    <t>St. Paul's Cathedral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</si>
  <si>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08:30 - 16:30 -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Incluido en el Explorer Pass.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 xml:space="preserve">: Se puede pedir una audiogia que esta incluida en el tiquete.
• </t>
    </r>
    <r>
      <rPr>
        <b/>
        <sz val="8"/>
        <color theme="1"/>
        <rFont val="Calibri"/>
        <family val="2"/>
        <scheme val="minor"/>
      </rPr>
      <t>Acceso</t>
    </r>
    <r>
      <rPr>
        <sz val="8"/>
        <color theme="1"/>
        <rFont val="Calibri"/>
        <family val="2"/>
        <scheme val="minor"/>
      </rPr>
      <t>: Entrada principal del lado oeste.</t>
    </r>
  </si>
  <si>
    <t>St. Paul's Cathedral - London Eye</t>
  </si>
  <si>
    <t>Mirador</t>
  </si>
  <si>
    <t>London Eye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</si>
  <si>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10:00 - 20:30 -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No vamos a ingresar.</t>
    </r>
  </si>
  <si>
    <t>London Eye - Westminster Pier</t>
  </si>
  <si>
    <t>Embarcadero</t>
  </si>
  <si>
    <t>Westminster Pier</t>
  </si>
  <si>
    <t>• Aquí tomamos el transporte a Canary Wharf.</t>
  </si>
  <si>
    <t>Ferry</t>
  </si>
  <si>
    <t>Westminster Pier - Canary Wharf</t>
  </si>
  <si>
    <r>
      <t xml:space="preserve">• RB1: 17:30, 18:00, 18:30 -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Se paga con la Oyster card.</t>
    </r>
  </si>
  <si>
    <t>Canary Wharf</t>
  </si>
  <si>
    <t>• Aquí desembarcamos.</t>
  </si>
  <si>
    <t>Patty &amp;Bun</t>
  </si>
  <si>
    <t>• Hamburguesas entre £ 12 y £ 13.</t>
  </si>
  <si>
    <t>Canary Wharf - Hotel</t>
  </si>
  <si>
    <t>• Canada Square North (Stop H) - [Bus D8 - Stratford - 13] - High Street Stn DLR (Stop N)</t>
  </si>
  <si>
    <t>Día 5 - Viaje a Grecia</t>
  </si>
  <si>
    <t>Reembolso de la Oyster Card</t>
  </si>
  <si>
    <t>• Ir a la estación del metro y sacar lo que le quede de saldo a la Oyster Card.</t>
  </si>
  <si>
    <t>Hotel - Stratford city bus station</t>
  </si>
  <si>
    <t>Espera</t>
  </si>
  <si>
    <t>Stratford city - Stansted Airport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</si>
  <si>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07:00 -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07:50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NX A9 - </t>
    </r>
    <r>
      <rPr>
        <b/>
        <sz val="8"/>
        <color theme="1"/>
        <rFont val="Calibri"/>
        <family val="2"/>
        <scheme val="minor"/>
      </rPr>
      <t>Empresa</t>
    </r>
    <r>
      <rPr>
        <sz val="8"/>
        <color theme="1"/>
        <rFont val="Calibri"/>
        <family val="2"/>
        <scheme val="minor"/>
      </rPr>
      <t xml:space="preserve">: National express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EUDVDL95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2 bodega (20 kg - 70 x 45 x 30) + Art. personal (45 x 35 x 20)
• </t>
    </r>
    <r>
      <rPr>
        <b/>
        <sz val="8"/>
        <color theme="1"/>
        <rFont val="Calibri"/>
        <family val="2"/>
        <scheme val="minor"/>
      </rPr>
      <t>Estación salida</t>
    </r>
    <r>
      <rPr>
        <sz val="8"/>
        <color theme="1"/>
        <rFont val="Calibri"/>
        <family val="2"/>
        <scheme val="minor"/>
      </rPr>
      <t xml:space="preserve">: Stop 20, nr Stratford City Bus Stn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Stansted Airport</t>
    </r>
  </si>
  <si>
    <t>CheckIn + Migración + Espera + Desayuno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</si>
  <si>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04:00 - 20:30 -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The Escape Lounge - </t>
    </r>
    <r>
      <rPr>
        <b/>
        <sz val="8"/>
        <color theme="1"/>
        <rFont val="Calibri"/>
        <family val="2"/>
        <scheme val="minor"/>
      </rPr>
      <t>Estadía</t>
    </r>
    <r>
      <rPr>
        <sz val="8"/>
        <color theme="1"/>
        <rFont val="Calibri"/>
        <family val="2"/>
        <scheme val="minor"/>
      </rPr>
      <t xml:space="preserve">: 3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Visa</t>
    </r>
  </si>
  <si>
    <t>Londres (Reino unido) - Santorini (Grecia)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</si>
  <si>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10:45 -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16:30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FR2906 - </t>
    </r>
    <r>
      <rPr>
        <b/>
        <sz val="8"/>
        <color theme="1"/>
        <rFont val="Calibri"/>
        <family val="2"/>
        <scheme val="minor"/>
      </rPr>
      <t>Aerolinea</t>
    </r>
    <r>
      <rPr>
        <sz val="8"/>
        <color theme="1"/>
        <rFont val="Calibri"/>
        <family val="2"/>
        <scheme val="minor"/>
      </rPr>
      <t xml:space="preserve">: Ryanair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EPK8KB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Facturada (10 kg - 55 x 40 x 20) + Art. personal (40 x 20 x 25)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Stansted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Santorini</t>
    </r>
  </si>
  <si>
    <t>Grecia</t>
  </si>
  <si>
    <t>Santorini</t>
  </si>
  <si>
    <t>Dia 1 - Llegada Santorini</t>
  </si>
  <si>
    <t>Inmig + Equipaje</t>
  </si>
  <si>
    <t>Inmigración + Esperar equipaje</t>
  </si>
  <si>
    <t>Aeropuerto - Hotel</t>
  </si>
  <si>
    <r>
      <t xml:space="preserve">• Usaremos el bus ya que la opcion del transfer vale </t>
    </r>
    <r>
      <rPr>
        <sz val="8"/>
        <color theme="1"/>
        <rFont val="Calibri"/>
        <family val="2"/>
      </rPr>
      <t>€</t>
    </r>
    <r>
      <rPr>
        <sz val="10.4"/>
        <color theme="1"/>
        <rFont val="Calibri"/>
        <family val="2"/>
      </rPr>
      <t xml:space="preserve"> </t>
    </r>
    <r>
      <rPr>
        <sz val="8"/>
        <color theme="1"/>
        <rFont val="Calibri"/>
        <family val="2"/>
        <scheme val="minor"/>
      </rPr>
      <t>20.</t>
    </r>
  </si>
  <si>
    <t>EUR</t>
  </si>
  <si>
    <t>Antonia Hotel - Ξενοδοχείο Αντωνία</t>
  </si>
  <si>
    <r>
      <t xml:space="preserve">• </t>
    </r>
    <r>
      <rPr>
        <b/>
        <sz val="8"/>
        <color theme="1"/>
        <rFont val="Calibri"/>
        <family val="2"/>
        <scheme val="minor"/>
      </rPr>
      <t>Check In</t>
    </r>
    <r>
      <rPr>
        <sz val="8"/>
        <color theme="1"/>
        <rFont val="Calibri"/>
        <family val="2"/>
        <scheme val="minor"/>
      </rPr>
      <t xml:space="preserve">: 15:00 - </t>
    </r>
    <r>
      <rPr>
        <b/>
        <sz val="8"/>
        <color theme="1"/>
        <rFont val="Calibri"/>
        <family val="2"/>
        <scheme val="minor"/>
      </rPr>
      <t>Check Out</t>
    </r>
    <r>
      <rPr>
        <sz val="8"/>
        <color theme="1"/>
        <rFont val="Calibri"/>
        <family val="2"/>
        <scheme val="minor"/>
      </rPr>
      <t xml:space="preserve">: 11:00 -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No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1 x (3 Ind)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2451151319 (PIN: 6080)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Booking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>: Fira, Firá, 84700, Greece - Φηρά (Φηρά, 84700)</t>
    </r>
  </si>
  <si>
    <t>• Comprar provisiones. Lucho llega a las 20:40 y aproximadamente a las 21:30 al hotel.</t>
  </si>
  <si>
    <t>Comprar Euros</t>
  </si>
  <si>
    <r>
      <t xml:space="preserve">• </t>
    </r>
    <r>
      <rPr>
        <b/>
        <sz val="8"/>
        <color theme="1"/>
        <rFont val="Calibri"/>
        <family val="2"/>
        <scheme val="minor"/>
      </rPr>
      <t>Total</t>
    </r>
    <r>
      <rPr>
        <sz val="8"/>
        <color theme="1"/>
        <rFont val="Calibri"/>
        <family val="2"/>
        <scheme val="minor"/>
      </rPr>
      <t>: EUR 200</t>
    </r>
  </si>
  <si>
    <t>Parea Tavern</t>
  </si>
  <si>
    <r>
      <t xml:space="preserve">• </t>
    </r>
    <r>
      <rPr>
        <b/>
        <sz val="8"/>
        <color theme="1"/>
        <rFont val="Calibri"/>
        <family val="2"/>
        <scheme val="minor"/>
      </rPr>
      <t>Moussaka</t>
    </r>
    <r>
      <rPr>
        <sz val="8"/>
        <color theme="1"/>
        <rFont val="Calibri"/>
        <family val="2"/>
        <scheme val="minor"/>
      </rPr>
      <t xml:space="preserve">: Similar a una lasaña italiana de berenjena, patata, bechamel y carne.
• </t>
    </r>
    <r>
      <rPr>
        <b/>
        <sz val="8"/>
        <color theme="1"/>
        <rFont val="Calibri"/>
        <family val="2"/>
        <scheme val="minor"/>
      </rPr>
      <t>Tzatziki</t>
    </r>
    <r>
      <rPr>
        <sz val="8"/>
        <color theme="1"/>
        <rFont val="Calibri"/>
        <family val="2"/>
        <scheme val="minor"/>
      </rPr>
      <t xml:space="preserve">: Salsa para picotear hecha de yogur griego, pepino y ajo.
• </t>
    </r>
    <r>
      <rPr>
        <b/>
        <sz val="8"/>
        <color theme="1"/>
        <rFont val="Calibri"/>
        <family val="2"/>
        <scheme val="minor"/>
      </rPr>
      <t>Souvlaki</t>
    </r>
    <r>
      <rPr>
        <sz val="8"/>
        <color theme="1"/>
        <rFont val="Calibri"/>
        <family val="2"/>
        <scheme val="minor"/>
      </rPr>
      <t xml:space="preserve">: Son brochetas de carne asada.
• </t>
    </r>
    <r>
      <rPr>
        <b/>
        <sz val="8"/>
        <color theme="1"/>
        <rFont val="Calibri"/>
        <family val="2"/>
        <scheme val="minor"/>
      </rPr>
      <t>Keftedakia</t>
    </r>
    <r>
      <rPr>
        <sz val="8"/>
        <color theme="1"/>
        <rFont val="Calibri"/>
        <family val="2"/>
        <scheme val="minor"/>
      </rPr>
      <t>: También son muy típicas las albóndigas con salsa de tomate</t>
    </r>
  </si>
  <si>
    <t>Día 2 - Santorini y Caminata</t>
  </si>
  <si>
    <t>Contratar Transfer</t>
  </si>
  <si>
    <t>• Se debe contratar el transfer con el hotel.</t>
  </si>
  <si>
    <t>Our Corner</t>
  </si>
  <si>
    <t>• Buenos desayunos cerca del hotel.</t>
  </si>
  <si>
    <t>Fira - Parque arqueológico de Akrotiri</t>
  </si>
  <si>
    <t>• El primer bus sale a las 08:30 en verano.</t>
  </si>
  <si>
    <t>Parque arqueológico de Akrotiri - Ακρωτήρι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</si>
  <si>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08:00 - 19:00 -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</t>
    </r>
    <r>
      <rPr>
        <sz val="8"/>
        <color theme="1"/>
        <rFont val="Calibri"/>
        <family val="2"/>
      </rPr>
      <t>€ 0</t>
    </r>
    <r>
      <rPr>
        <sz val="8"/>
        <color theme="1"/>
        <rFont val="Calibri"/>
        <family val="2"/>
        <scheme val="minor"/>
      </rPr>
      <t xml:space="preserve">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No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Solo ese fin de semana el museo es gratuito.</t>
    </r>
  </si>
  <si>
    <t>Akrotiri - Iglesia San Nikolaos</t>
  </si>
  <si>
    <t>Iglesia San Nikolaos - Ιερός Ναός Αγίου Νικολάου</t>
  </si>
  <si>
    <t>• Ir hasta el mirador de la playa roja.</t>
  </si>
  <si>
    <t>Iglesia San Nikolaos - Akrotiri</t>
  </si>
  <si>
    <t>Akrotiri - Fira</t>
  </si>
  <si>
    <t>Holy Orthodox Metropolitan Cathedral
Ιερός Μητροπολιτικός Ναός Υπαπαντής Θήρας</t>
  </si>
  <si>
    <t>• Se visita como parte de la caminata.</t>
  </si>
  <si>
    <t>Cathedral Ortodoxa - San Juan Bautista</t>
  </si>
  <si>
    <t>Catedral Católica de San Juan Bautista
Καθεδρικός Ναός Αγίου Ιωάννη του Βαπτιστή</t>
  </si>
  <si>
    <t>San Juan Bautista - Tres Campanas</t>
  </si>
  <si>
    <t>Tres Campanas - Τρεις Καμπάνες των Φηρών</t>
  </si>
  <si>
    <t>Tres Campanas - Taverna Simos</t>
  </si>
  <si>
    <t>Taverna Simos</t>
  </si>
  <si>
    <t>• Una buena opción para comer comida griega.</t>
  </si>
  <si>
    <t>Taverna Simos - Plaza Central Firostefani</t>
  </si>
  <si>
    <t>Plaza Central Firostefani
Κεντρική Πλατεία Φηροστεφανίου</t>
  </si>
  <si>
    <t>Firostefani - Imerovigli</t>
  </si>
  <si>
    <t>Church of the Resurrection of the Lord
Ιέρος Ναός Αναστάσεως του Κυρίου Ημεροβιγλίου</t>
  </si>
  <si>
    <t>Imerovigli - Castle of Oia</t>
  </si>
  <si>
    <t>• La idea es llegar a tiempo par ver la puesta del sol.</t>
  </si>
  <si>
    <t>Castle of Oia - Κάστρο Οίας</t>
  </si>
  <si>
    <t>Castle of Oia - PitoGyros</t>
  </si>
  <si>
    <t>PitoGyros o Niko’s Place</t>
  </si>
  <si>
    <t>• Es uno de los restaurantes clasicos donde comer barato gyros y souvlakis.</t>
  </si>
  <si>
    <t>Buscar un sitio donde tomarnos algo.</t>
  </si>
  <si>
    <t>• El bus de regreso sale a las 21:20, 21:50 y el ultimo a las 22:20</t>
  </si>
  <si>
    <t>Oia - Hotel</t>
  </si>
  <si>
    <t>Día 3 - Excursion en catamaran</t>
  </si>
  <si>
    <t>• Hay varias panaderias cerca para desayunar.</t>
  </si>
  <si>
    <t>Excursion en catamaran de día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</si>
  <si>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€ 110 -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>: € 110  -</t>
    </r>
    <r>
      <rPr>
        <b/>
        <sz val="8"/>
        <color theme="1"/>
        <rFont val="Calibri"/>
        <family val="2"/>
        <scheme val="minor"/>
      </rPr>
      <t xml:space="preserve"> Valor grupo</t>
    </r>
    <r>
      <rPr>
        <sz val="8"/>
        <color theme="1"/>
        <rFont val="Calibri"/>
        <family val="2"/>
        <scheme val="minor"/>
      </rPr>
      <t xml:space="preserve">: € 330 -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€ 330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SSTR.73D58DD4A2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Ingles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>: https://santorinistar.com/</t>
    </r>
  </si>
  <si>
    <t>Van</t>
  </si>
  <si>
    <t>Hotel - Vlychada</t>
  </si>
  <si>
    <t>• Incluido en el tour.</t>
  </si>
  <si>
    <t>Vlychada</t>
  </si>
  <si>
    <t>Playa</t>
  </si>
  <si>
    <t>White beach</t>
  </si>
  <si>
    <t>Red beach</t>
  </si>
  <si>
    <t>Monumento</t>
  </si>
  <si>
    <t>Venetian lighthouse</t>
  </si>
  <si>
    <t>Hot Springs</t>
  </si>
  <si>
    <t>Thirasia island</t>
  </si>
  <si>
    <t>Old Port of Fira</t>
  </si>
  <si>
    <t>Mesa Pigadia</t>
  </si>
  <si>
    <t>Vlychada - Hotel</t>
  </si>
  <si>
    <t>Hotel - Santorini Old Harbor</t>
  </si>
  <si>
    <t>Snack</t>
  </si>
  <si>
    <t>Aroma Café</t>
  </si>
  <si>
    <t>• Pedir la cerveza local Donkey.</t>
  </si>
  <si>
    <t>Santorini Old Harbor</t>
  </si>
  <si>
    <t>Santorini Old Harbor - Hotel</t>
  </si>
  <si>
    <r>
      <t xml:space="preserve">• Se puede subir pagando el teleferico por </t>
    </r>
    <r>
      <rPr>
        <sz val="8"/>
        <color theme="1"/>
        <rFont val="Calibri"/>
        <family val="2"/>
      </rPr>
      <t>€</t>
    </r>
    <r>
      <rPr>
        <sz val="9.6"/>
        <color theme="1"/>
        <rFont val="Calibri"/>
        <family val="2"/>
      </rPr>
      <t xml:space="preserve"> </t>
    </r>
    <r>
      <rPr>
        <sz val="8"/>
        <color theme="1"/>
        <rFont val="Calibri"/>
        <family val="2"/>
        <scheme val="minor"/>
      </rPr>
      <t>6.</t>
    </r>
  </si>
  <si>
    <t>Tholoto Brunch &amp; Restaurant</t>
  </si>
  <si>
    <t>• Restaurante #1 para comer en Fira</t>
  </si>
  <si>
    <t>Desayuno y Transfer</t>
  </si>
  <si>
    <t>• Debemos comprar algo para el desayuno al dia siguiente ya que madrugamos.
• Se debe contratar el transfer con el hotel.</t>
  </si>
  <si>
    <t>Día 4 - Viaje a Atenas</t>
  </si>
  <si>
    <t>Hotel - Aeropuerto</t>
  </si>
  <si>
    <t>• Se contrato previamente con el hotel.</t>
  </si>
  <si>
    <t>Check + Esperar</t>
  </si>
  <si>
    <t>CheckIn + Esperar</t>
  </si>
  <si>
    <r>
      <t xml:space="preserve">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No hay sala VIP.</t>
    </r>
  </si>
  <si>
    <t>Santorini (Grecia) - Atenas (Grecia)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</si>
  <si>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07:25 -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08:10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A3349 - </t>
    </r>
    <r>
      <rPr>
        <b/>
        <sz val="8"/>
        <color theme="1"/>
        <rFont val="Calibri"/>
        <family val="2"/>
        <scheme val="minor"/>
      </rPr>
      <t>Aerolinea</t>
    </r>
    <r>
      <rPr>
        <sz val="8"/>
        <color theme="1"/>
        <rFont val="Calibri"/>
        <family val="2"/>
        <scheme val="minor"/>
      </rPr>
      <t xml:space="preserve">: Aegean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KGQ25K - KGAZ2I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(8 kg - 56 x 45 x 25) + Art. personal (40 x 20 x 25)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Santorini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 Eleftherios Venizelos</t>
    </r>
  </si>
  <si>
    <t>Atenas</t>
  </si>
  <si>
    <t>Día 1 - Free Walking Tour</t>
  </si>
  <si>
    <t>Esperar equipaje</t>
  </si>
  <si>
    <t>• Debemos movernos rapido si queremos llegar al tour.</t>
  </si>
  <si>
    <t>Comprar abono de transportes</t>
  </si>
  <si>
    <t>• Comprar la 3-DAY TOURIST TICKET.</t>
  </si>
  <si>
    <t>Aeropuerto - Estacion Syntagma</t>
  </si>
  <si>
    <t>• ΕΛ. ΒΕΝΙΖΕΛΟΣ ΠΛ. 2 - [M3 : ΔΗΜΟΤΙΚΟ ΘΕΑΤΡΟ : 16 : 2116] - Syntagma
• Nota: El tren directo sale a las 09:05 y 09:41</t>
  </si>
  <si>
    <t>Estacion Syntagma - Hotel</t>
  </si>
  <si>
    <t>Omiros Hotel - Ξενοδοχείο Όμηρος</t>
  </si>
  <si>
    <r>
      <t xml:space="preserve">• </t>
    </r>
    <r>
      <rPr>
        <b/>
        <sz val="8"/>
        <color theme="1"/>
        <rFont val="Calibri"/>
        <family val="2"/>
        <scheme val="minor"/>
      </rPr>
      <t>Check In</t>
    </r>
    <r>
      <rPr>
        <sz val="8"/>
        <color theme="1"/>
        <rFont val="Calibri"/>
        <family val="2"/>
        <scheme val="minor"/>
      </rPr>
      <t xml:space="preserve">: 12:00 - </t>
    </r>
    <r>
      <rPr>
        <b/>
        <sz val="8"/>
        <color theme="1"/>
        <rFont val="Calibri"/>
        <family val="2"/>
        <scheme val="minor"/>
      </rPr>
      <t>Check Out</t>
    </r>
    <r>
      <rPr>
        <sz val="8"/>
        <color theme="1"/>
        <rFont val="Calibri"/>
        <family val="2"/>
        <scheme val="minor"/>
      </rPr>
      <t xml:space="preserve">: 11:00 -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1 x (3 Ind)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LEB8K4G9 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LifeMiles Hotels 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 xml:space="preserve">: Apollonos 15, Athens, 10557 - Απόλλωνος 15 , Αθήνα, 10557 </t>
    </r>
  </si>
  <si>
    <t>Hotel - Plaza Manou Rallous</t>
  </si>
  <si>
    <t>Free Walking Tour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</si>
  <si>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€ 0 -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>: € 0  -</t>
    </r>
    <r>
      <rPr>
        <b/>
        <sz val="8"/>
        <color theme="1"/>
        <rFont val="Calibri"/>
        <family val="2"/>
        <scheme val="minor"/>
      </rPr>
      <t xml:space="preserve"> Valor grupo</t>
    </r>
    <r>
      <rPr>
        <sz val="8"/>
        <color theme="1"/>
        <rFont val="Calibri"/>
        <family val="2"/>
        <scheme val="minor"/>
      </rPr>
      <t xml:space="preserve">: € 0 -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€ 0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?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 xml:space="preserve">: https://www.athens-free-tour.com/es/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El tour sale justo en frente del hotel "New Hotel" a las 10:00.</t>
    </r>
  </si>
  <si>
    <t>Templo Zeus Olímpico - Ναός του Ολυμπίου Διός</t>
  </si>
  <si>
    <t>Panathenaic Stadium - Παναθηναϊκό Στάδιο</t>
  </si>
  <si>
    <t>Monumento al soldado desconocido</t>
  </si>
  <si>
    <t>Plaza de la Constitución - Πλατεία Συντάγματος</t>
  </si>
  <si>
    <t>Catedral de la Anunciación de Santa María</t>
  </si>
  <si>
    <t>Plaka - Πλάκα</t>
  </si>
  <si>
    <t>Plaza Monastiraki - Πλατεία Μοναστηρακίου</t>
  </si>
  <si>
    <t>Ágora romana - Ρωμαϊκή Αγορά Αθηνών</t>
  </si>
  <si>
    <t>Ágora de Atenas - Αρχαία Αγορά Αθηνών</t>
  </si>
  <si>
    <t>Areópago - Λόφος Αρείου Πάγου</t>
  </si>
  <si>
    <t>Odeón Herodes Ático - Ωδείο Ηρώδου του Αττικού</t>
  </si>
  <si>
    <t>Teatro de Dioniso - Θέατρο του Διονύσου</t>
  </si>
  <si>
    <t>Arco de Adriano - Πύλη Αδριανού</t>
  </si>
  <si>
    <t>Arco de Adriano - Arcadia</t>
  </si>
  <si>
    <t>Arcadia</t>
  </si>
  <si>
    <t>• Pedir moussaka.</t>
  </si>
  <si>
    <t>• Se debe comprar algo de almorzar y cenar para la excursion a Meteora.</t>
  </si>
  <si>
    <t>Lavanderia</t>
  </si>
  <si>
    <t>Lavar la ropa</t>
  </si>
  <si>
    <t>• Llevar la ropa a lavar, es barato y no hay este servicio en Egipto.</t>
  </si>
  <si>
    <t>Hotel - Monumento de Filopapo</t>
  </si>
  <si>
    <t>Monumento de Filopapo - Μνημείο Φιλοπάππου</t>
  </si>
  <si>
    <t>• Una de las mejores vistas de la acropolis y un gran sitio para ver el atardecer.</t>
  </si>
  <si>
    <t>Filopapo - Cinque Wine Bar Monastiraki</t>
  </si>
  <si>
    <t>Anticipo</t>
  </si>
  <si>
    <t>Cosumo minimo restaurante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</si>
  <si>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>: € 45</t>
    </r>
  </si>
  <si>
    <t>Cinque Wine Bar Monastiraki</t>
  </si>
  <si>
    <r>
      <t xml:space="preserve">•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19:30 - 21:30 - </t>
    </r>
    <r>
      <rPr>
        <b/>
        <sz val="8"/>
        <color theme="1"/>
        <rFont val="Calibri"/>
        <family val="2"/>
        <scheme val="minor"/>
      </rPr>
      <t>Anticipo</t>
    </r>
    <r>
      <rPr>
        <sz val="8"/>
        <color theme="1"/>
        <rFont val="Calibri"/>
        <family val="2"/>
        <scheme val="minor"/>
      </rPr>
      <t xml:space="preserve">: € 45 -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>: HRSSMCM</t>
    </r>
  </si>
  <si>
    <t>Cinque Wine Bar Monastiraki - Hotel</t>
  </si>
  <si>
    <t>Día 2 - Excursion a Meteora</t>
  </si>
  <si>
    <t>Tour a Meteora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</si>
  <si>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€ 92 -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€ 0 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€ 276 -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€ 0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RGKYHGP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Ingles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 xml:space="preserve">: https://meteora.com/tour/excursion-de-1-dia-a-meteora-desde-atenas-en-tren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Los tiquetes los envian 4 dias antes del viaje.</t>
    </r>
  </si>
  <si>
    <t>Hotel - Larissa Station</t>
  </si>
  <si>
    <t>• Syntagma - [M2 : ΑΝΘΟΥΠΟΛΗ : 4 : 2722] - Larissa Station</t>
  </si>
  <si>
    <t>Tren</t>
  </si>
  <si>
    <t>Athens Station - Kalabaka Station</t>
  </si>
  <si>
    <t>• Incluido el tour.</t>
  </si>
  <si>
    <t>Refrigerio</t>
  </si>
  <si>
    <t>• Parada para alimentación antes de empezar. Se debe comprar el día anterior.</t>
  </si>
  <si>
    <t>Visita a los monasterios</t>
  </si>
  <si>
    <r>
      <t xml:space="preserve">Orden de relevancia y escalones:
• Varlaam (s. XVII) - 140 escalones
• Gran Meteoron (s. XIV) - 300 escalones (Cerrado)
• Santísima Trinidad (s. XV) - 300 escalones
• Roussanou (s. XVI) - 140 escalones
• S. Esteban - De facil acceso
• S. Nikolaos Anapfsas - 140 escalones
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Se eligen 3 para una visita completa. Los hombres no deben llevar pantalón corto y las mujeres están obligadas a ponerse falda larga.</t>
    </r>
  </si>
  <si>
    <t>Kalabaka Station - Athens Station</t>
  </si>
  <si>
    <t>Larissa Station - Hotel</t>
  </si>
  <si>
    <t>• Larissa Station - [M2 : ΕΛΛΗΝΙΚΟ : 4 : 2031] - Syntagma</t>
  </si>
  <si>
    <t>Dejar todo listo para el ckeck out</t>
  </si>
  <si>
    <t>• Mañana debemos dejar el check out realizado y las maletas en recepción.</t>
  </si>
  <si>
    <t>Reservar transfer en Aswan</t>
  </si>
  <si>
    <t>• Escribir al hotel para reservar el transfer en Aswan para los 6.</t>
  </si>
  <si>
    <t>Día 3 - Acropolis y Museos</t>
  </si>
  <si>
    <t>Recordarle a Jimena las compras en El Cairo</t>
  </si>
  <si>
    <t>• Comprar agua, mecato y cena para los que no tengan acceso a la sala VIP.</t>
  </si>
  <si>
    <t>Hotel - Acrópolis</t>
  </si>
  <si>
    <t>Acrópolis de Atenas - Ακρόπολη Αθηνώ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</si>
  <si>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08:00 - 18:30 -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</t>
    </r>
    <r>
      <rPr>
        <sz val="8"/>
        <color theme="1"/>
        <rFont val="Calibri"/>
        <family val="2"/>
      </rPr>
      <t>€</t>
    </r>
    <r>
      <rPr>
        <sz val="8"/>
        <color theme="1"/>
        <rFont val="Calibri"/>
        <family val="2"/>
        <scheme val="minor"/>
      </rPr>
      <t xml:space="preserve"> 20 -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08:00 -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No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Orden ID</t>
    </r>
    <r>
      <rPr>
        <sz val="8"/>
        <color theme="1"/>
        <rFont val="Calibri"/>
        <family val="2"/>
        <scheme val="minor"/>
      </rPr>
      <t xml:space="preserve">: A55106F4B9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El tour vale €40 x persona, ver si a la entrada conseguimos algo más barato.</t>
    </r>
  </si>
  <si>
    <t>Acrópolis - Kalamaki Bar</t>
  </si>
  <si>
    <t>Kalamaki Bar</t>
  </si>
  <si>
    <r>
      <t xml:space="preserve">• Restaurante recomendado con buenos precios, bonito y la botella de vino en </t>
    </r>
    <r>
      <rPr>
        <sz val="8"/>
        <color theme="1"/>
        <rFont val="Calibri"/>
        <family val="2"/>
      </rPr>
      <t xml:space="preserve">€ </t>
    </r>
    <r>
      <rPr>
        <sz val="8"/>
        <color theme="1"/>
        <rFont val="Calibri"/>
        <family val="2"/>
        <scheme val="minor"/>
      </rPr>
      <t>16.</t>
    </r>
  </si>
  <si>
    <t>Kalamaki Bar - Museo de la acrópolis</t>
  </si>
  <si>
    <t>Museo de la Acrópolis - Μουσείο Ακρόπολης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</si>
  <si>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09:00 - 20:00 -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€ 15 -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N/A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Las boletas se compran en el mismo museo.</t>
    </r>
  </si>
  <si>
    <t>Museo de la Acrópolis - Feyrouz</t>
  </si>
  <si>
    <t>Feyrouz</t>
  </si>
  <si>
    <t>• Comida Libanesa con muy buenos postres.</t>
  </si>
  <si>
    <t>Feyrouz - Monte Licabeto</t>
  </si>
  <si>
    <t>Mirador del Licabeto - Θέα Λυκαβηττού</t>
  </si>
  <si>
    <t>• Una vista diferente de la Acrópolis y de Atenas</t>
  </si>
  <si>
    <t>Monte Licabeto - Hotel</t>
  </si>
  <si>
    <t>Hotel - Aeropuerto Athens El. Venizelos</t>
  </si>
  <si>
    <t>• Syntagma - [M3 : ΕΛ. ΒΕΝΙΖΕΛΟΣ : 16 : 3731] - ΕΛ. ΒΕΝΙΖΕΛΟΣ ΠΛ. 2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</si>
  <si>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24 H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Goldair Handling Lounge - </t>
    </r>
    <r>
      <rPr>
        <b/>
        <sz val="8"/>
        <color theme="1"/>
        <rFont val="Calibri"/>
        <family val="2"/>
        <scheme val="minor"/>
      </rPr>
      <t>Tiempo</t>
    </r>
    <r>
      <rPr>
        <sz val="8"/>
        <color theme="1"/>
        <rFont val="Calibri"/>
        <family val="2"/>
        <scheme val="minor"/>
      </rPr>
      <t xml:space="preserve">: 3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Visa</t>
    </r>
  </si>
  <si>
    <t>Atenas (Grecia) - El Cairo (Egipto)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</si>
  <si>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23:55 -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01:50+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A3930 -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Aegean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JKEE53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(8 kg - 56 x 45 x 25) + Art. personal (40 x 20 x 25) + 1 Facturada (23 kg)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Eleftherios Venizelos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Cairo International T3</t>
    </r>
  </si>
  <si>
    <t>Egipto</t>
  </si>
  <si>
    <t>El Cairo</t>
  </si>
  <si>
    <t>Dia 1 - El Cairo Copto</t>
  </si>
  <si>
    <t>original</t>
  </si>
  <si>
    <t>Sugerido</t>
  </si>
  <si>
    <t>Visa</t>
  </si>
  <si>
    <t>Independiente</t>
  </si>
  <si>
    <t>Aeropuerto Cairo International - Hotel</t>
  </si>
  <si>
    <r>
      <t xml:space="preserve">• </t>
    </r>
    <r>
      <rPr>
        <b/>
        <sz val="8"/>
        <color theme="1"/>
        <rFont val="Calibri"/>
        <family val="2"/>
        <scheme val="minor"/>
      </rPr>
      <t>Orden</t>
    </r>
    <r>
      <rPr>
        <sz val="8"/>
        <color theme="1"/>
        <rFont val="Calibri"/>
        <family val="2"/>
        <scheme val="minor"/>
      </rPr>
      <t>: 18674</t>
    </r>
  </si>
  <si>
    <t>Independiente / Agencia</t>
  </si>
  <si>
    <t>Garden Season Hotel - فندق جاردن سيزون</t>
  </si>
  <si>
    <r>
      <t xml:space="preserve">• </t>
    </r>
    <r>
      <rPr>
        <b/>
        <sz val="8"/>
        <color theme="1"/>
        <rFont val="Calibri"/>
        <family val="2"/>
        <scheme val="minor"/>
      </rPr>
      <t>Check In</t>
    </r>
    <r>
      <rPr>
        <sz val="8"/>
        <color theme="1"/>
        <rFont val="Calibri"/>
        <family val="2"/>
        <scheme val="minor"/>
      </rPr>
      <t xml:space="preserve">: 13:00 - </t>
    </r>
    <r>
      <rPr>
        <b/>
        <sz val="8"/>
        <color theme="1"/>
        <rFont val="Calibri"/>
        <family val="2"/>
        <scheme val="minor"/>
      </rPr>
      <t>Check Out</t>
    </r>
    <r>
      <rPr>
        <sz val="8"/>
        <color theme="1"/>
        <rFont val="Calibri"/>
        <family val="2"/>
        <scheme val="minor"/>
      </rPr>
      <t xml:space="preserve">: 11:30 -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2 x (3 Ind)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2180195760 (PIN: 4544)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Booking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>: 8 Ibrahim Naguib Garden City, القاهرة 11511 مصر</t>
    </r>
  </si>
  <si>
    <t>USD</t>
  </si>
  <si>
    <t>Código de vestimenta</t>
  </si>
  <si>
    <t>• Llevar los hombros y rodillas tapadas para entrar a las iglesias.</t>
  </si>
  <si>
    <t>EGP</t>
  </si>
  <si>
    <t>El Cairo islámico, el cristiano y el NMEC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</si>
  <si>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20 -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US 0 -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US 120 -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US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1447664369/1061583275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>: https://www.emotoursegypt.com</t>
    </r>
  </si>
  <si>
    <t>Agencia</t>
  </si>
  <si>
    <t>Museo Nacional de la Civilización Egipcia 
المتحف القومي للحضارة المصرية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</si>
  <si>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09:00 - 17:00 -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EGP 240 -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N/A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Comprar entradas en el museo.</t>
    </r>
  </si>
  <si>
    <t>Cambiar dolares Libras Egipcias</t>
  </si>
  <si>
    <r>
      <t xml:space="preserve">• </t>
    </r>
    <r>
      <rPr>
        <b/>
        <sz val="8"/>
        <color theme="1"/>
        <rFont val="Calibri"/>
        <family val="2"/>
        <scheme val="minor"/>
      </rPr>
      <t>Total requerid</t>
    </r>
    <r>
      <rPr>
        <sz val="8"/>
        <color theme="1"/>
        <rFont val="Calibri"/>
        <family val="2"/>
        <scheme val="minor"/>
      </rPr>
      <t xml:space="preserve">o: £ 2000 - </t>
    </r>
    <r>
      <rPr>
        <b/>
        <sz val="8"/>
        <color theme="1"/>
        <rFont val="Calibri"/>
        <family val="2"/>
        <scheme val="minor"/>
      </rPr>
      <t>Valor esperado</t>
    </r>
    <r>
      <rPr>
        <sz val="8"/>
        <color theme="1"/>
        <rFont val="Calibri"/>
        <family val="2"/>
        <scheme val="minor"/>
      </rPr>
      <t>: USD 65</t>
    </r>
  </si>
  <si>
    <t>Old Cairo Restaurant &amp; Café</t>
  </si>
  <si>
    <t>• Falafel (Croqueta de garbanzos), Shawarma de pollo y Té de menta.</t>
  </si>
  <si>
    <t>Iglesia Colgante - الكنيسة المعلقة</t>
  </si>
  <si>
    <t xml:space="preserve">• En su interior podrás ver 13 pilares que representan a Jesús Cristo y sus 12 apóstoles, siendo el pilar gris el dudoso Tomás y el negro Judas. </t>
  </si>
  <si>
    <t>Sinagoga Ben Ezra - معبد بن عزرا</t>
  </si>
  <si>
    <t>• La tradición dice que aquí fue donde el profeta Jeremías reunió a los judíos en el siglo VI después de que Nebuchadnezzar destruyó el Templo de Jerusalén.</t>
  </si>
  <si>
    <t>St. George's church - كنيسة القديس مارجرجس</t>
  </si>
  <si>
    <t>• San Jorge es uno de los santos más venerados debido a que fue ejecutado en el año 303 d.C, al no cumplir el decreto impuesto por el Emperador Romano Diocletian.</t>
  </si>
  <si>
    <t>Ig. San Sergio y San Baco - كنيسة القديسه بربارة الاثرية</t>
  </si>
  <si>
    <t>• Cuenta la leyenda que esta iglesia fue construida sobre la cueva donde la Sagrada Familia se escondió después de su huida hasta Egipto.</t>
  </si>
  <si>
    <t>Mezquita de Amr Ibn Al As - جامع عمرو بن العاص</t>
  </si>
  <si>
    <t>• Fue la primera mezquita construida en Egipto en el año 642 d.C, construida donde Ibn Al As puso su campamento, quien conquistó Egipto por el Islam.</t>
  </si>
  <si>
    <t>Recoger Equipaje</t>
  </si>
  <si>
    <t>Hotel - Aeropuerto Internacional de El Cairo</t>
  </si>
  <si>
    <t>CheckIn + Esperar + Cena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</si>
  <si>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24 H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VIP Lounge - </t>
    </r>
    <r>
      <rPr>
        <b/>
        <sz val="8"/>
        <color theme="1"/>
        <rFont val="Calibri"/>
        <family val="2"/>
        <scheme val="minor"/>
      </rPr>
      <t>Tiempo</t>
    </r>
    <r>
      <rPr>
        <sz val="8"/>
        <color theme="1"/>
        <rFont val="Calibri"/>
        <family val="2"/>
        <scheme val="minor"/>
      </rPr>
      <t xml:space="preserve">: 3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Visa</t>
    </r>
  </si>
  <si>
    <t>El Cairo (Egipto) - Aswan (Egipto)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</si>
  <si>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19:45 -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21:05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MS086 -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Egyptair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J39XV9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(8 kg - 55 x 40 x 23)  + 1 Facturada (23 kg)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Cairo International T3 -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 Aswan International</t>
    </r>
  </si>
  <si>
    <t>Aswan</t>
  </si>
  <si>
    <t>Día 1 - Llegada a Aswan</t>
  </si>
  <si>
    <t>• Contratar con el hotel.</t>
  </si>
  <si>
    <t>Philae Hotel Aswan - فندق فيلة</t>
  </si>
  <si>
    <r>
      <t>•</t>
    </r>
    <r>
      <rPr>
        <b/>
        <sz val="8"/>
        <color theme="1"/>
        <rFont val="Calibri"/>
        <family val="2"/>
        <scheme val="minor"/>
      </rPr>
      <t xml:space="preserve"> Check In</t>
    </r>
    <r>
      <rPr>
        <sz val="8"/>
        <color theme="1"/>
        <rFont val="Calibri"/>
        <family val="2"/>
        <scheme val="minor"/>
      </rPr>
      <t xml:space="preserve">: 15:00 - </t>
    </r>
    <r>
      <rPr>
        <b/>
        <sz val="8"/>
        <color theme="1"/>
        <rFont val="Calibri"/>
        <family val="2"/>
        <scheme val="minor"/>
      </rPr>
      <t>Check Out</t>
    </r>
    <r>
      <rPr>
        <sz val="8"/>
        <color theme="1"/>
        <rFont val="Calibri"/>
        <family val="2"/>
        <scheme val="minor"/>
      </rPr>
      <t xml:space="preserve">: 11:00 -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1 x (2 Ind), 1 x (2 Ind + 1 Dob)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3367261266 (PIN: 2715)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Booking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>: 79 Cornich el Nile, أسوان مصر</t>
    </r>
  </si>
  <si>
    <t>Día 2 - Visita a las atracciones de Asuán (1 - 4)</t>
  </si>
  <si>
    <t>Anticipo Crucero por el Nilo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</si>
  <si>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202.5 -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>: US 1215</t>
    </r>
  </si>
  <si>
    <t>Comision por pago con  tarjeta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</si>
  <si>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20 -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>: US 120</t>
    </r>
  </si>
  <si>
    <t>Crucero 4 días desde Asuán a Luxor y Abu Simbel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</si>
  <si>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810 -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US 607.5 -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US 4860 -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US 3645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NA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>: https://spain.egypttoursportal.com/</t>
    </r>
  </si>
  <si>
    <t>La Alta Presa</t>
  </si>
  <si>
    <t>El Obelisco Inacabado</t>
  </si>
  <si>
    <t>El Templo de Filae</t>
  </si>
  <si>
    <t>• Incluido en el crucero.</t>
  </si>
  <si>
    <t>Navegación</t>
  </si>
  <si>
    <t>Día 3 - El Templo de Abu Simbel (2 - 4)</t>
  </si>
  <si>
    <t>El Templo de Abu Simbel</t>
  </si>
  <si>
    <t>Dia 4 - Tour a Edfu y Kom Ombo (3 - 4)</t>
  </si>
  <si>
    <t>El Templo de Kom Ombo</t>
  </si>
  <si>
    <t>El Templo de Edfu</t>
  </si>
  <si>
    <t>Barco</t>
  </si>
  <si>
    <t>Asuán - Luxor</t>
  </si>
  <si>
    <t>Luxor</t>
  </si>
  <si>
    <t>Día 1 - Visita a las atracciones de Luxor (4 - 4)</t>
  </si>
  <si>
    <t>Valle</t>
  </si>
  <si>
    <t>El Valle de Los Reyes</t>
  </si>
  <si>
    <t>El Templo de Hachepsut</t>
  </si>
  <si>
    <t>Los Colosos de Memnon</t>
  </si>
  <si>
    <t>El Templo de Karnak</t>
  </si>
  <si>
    <t>Karnak - Hotel</t>
  </si>
  <si>
    <t>• Incluido en el tour</t>
  </si>
  <si>
    <t>Nefertiti Hotel Luxor - نفرتيتى فندق</t>
  </si>
  <si>
    <r>
      <t xml:space="preserve">• </t>
    </r>
    <r>
      <rPr>
        <b/>
        <sz val="8"/>
        <color rgb="FFFF0000"/>
        <rFont val="Calibri"/>
        <family val="2"/>
        <scheme val="minor"/>
      </rPr>
      <t>Check In</t>
    </r>
    <r>
      <rPr>
        <sz val="8"/>
        <color rgb="FFFF0000"/>
        <rFont val="Calibri"/>
        <family val="2"/>
        <scheme val="minor"/>
      </rPr>
      <t xml:space="preserve">: 14:00 - </t>
    </r>
    <r>
      <rPr>
        <b/>
        <sz val="8"/>
        <color rgb="FFFF0000"/>
        <rFont val="Calibri"/>
        <family val="2"/>
        <scheme val="minor"/>
      </rPr>
      <t>Check Out</t>
    </r>
    <r>
      <rPr>
        <sz val="8"/>
        <color rgb="FFFF0000"/>
        <rFont val="Calibri"/>
        <family val="2"/>
        <scheme val="minor"/>
      </rPr>
      <t xml:space="preserve">: 12:00 - </t>
    </r>
    <r>
      <rPr>
        <b/>
        <sz val="8"/>
        <color rgb="FFFF0000"/>
        <rFont val="Calibri"/>
        <family val="2"/>
        <scheme val="minor"/>
      </rPr>
      <t>Desayuno</t>
    </r>
    <r>
      <rPr>
        <sz val="8"/>
        <color rgb="FFFF0000"/>
        <rFont val="Calibri"/>
        <family val="2"/>
        <scheme val="minor"/>
      </rPr>
      <t xml:space="preserve">: Si - </t>
    </r>
    <r>
      <rPr>
        <b/>
        <sz val="8"/>
        <color rgb="FFFF0000"/>
        <rFont val="Calibri"/>
        <family val="2"/>
        <scheme val="minor"/>
      </rPr>
      <t>Camas</t>
    </r>
    <r>
      <rPr>
        <sz val="8"/>
        <color rgb="FFFF0000"/>
        <rFont val="Calibri"/>
        <family val="2"/>
        <scheme val="minor"/>
      </rPr>
      <t xml:space="preserve">: 1 x (3 Ind), 1 x (2 Ind + 1 Dob)
• </t>
    </r>
    <r>
      <rPr>
        <b/>
        <sz val="8"/>
        <color rgb="FFFF0000"/>
        <rFont val="Calibri"/>
        <family val="2"/>
        <scheme val="minor"/>
      </rPr>
      <t>Reserva</t>
    </r>
    <r>
      <rPr>
        <sz val="8"/>
        <color rgb="FFFF0000"/>
        <rFont val="Calibri"/>
        <family val="2"/>
        <scheme val="minor"/>
      </rPr>
      <t xml:space="preserve">: 3367223567 (PIN: 6653) - </t>
    </r>
    <r>
      <rPr>
        <b/>
        <sz val="8"/>
        <color rgb="FFFF0000"/>
        <rFont val="Calibri"/>
        <family val="2"/>
        <scheme val="minor"/>
      </rPr>
      <t>Sitio</t>
    </r>
    <r>
      <rPr>
        <sz val="8"/>
        <color rgb="FFFF0000"/>
        <rFont val="Calibri"/>
        <family val="2"/>
        <scheme val="minor"/>
      </rPr>
      <t xml:space="preserve">: Booking
• </t>
    </r>
    <r>
      <rPr>
        <b/>
        <sz val="8"/>
        <color rgb="FFFF0000"/>
        <rFont val="Calibri"/>
        <family val="2"/>
        <scheme val="minor"/>
      </rPr>
      <t>Dirección</t>
    </r>
    <r>
      <rPr>
        <sz val="8"/>
        <color rgb="FFFF0000"/>
        <rFont val="Calibri"/>
        <family val="2"/>
        <scheme val="minor"/>
      </rPr>
      <t>: Al-Sahaby Lan,Front Luxor Temple - ش الصحابى متفرع من ش معبد الكرنك, إيست بانك,</t>
    </r>
  </si>
  <si>
    <t>Reservar el transfer</t>
  </si>
  <si>
    <t>• Dejar reservado de una vez el transfer al aeropuerto.</t>
  </si>
  <si>
    <t>Hotel - Templo de Luxor</t>
  </si>
  <si>
    <t xml:space="preserve">Excursion guiada al Templo de Luxor </t>
  </si>
  <si>
    <r>
      <t xml:space="preserve">• </t>
    </r>
    <r>
      <rPr>
        <b/>
        <sz val="8"/>
        <color rgb="FFFF0000"/>
        <rFont val="Calibri"/>
        <family val="2"/>
        <scheme val="minor"/>
      </rPr>
      <t>Nota</t>
    </r>
    <r>
      <rPr>
        <sz val="8"/>
        <color rgb="FFFF0000"/>
        <rFont val="Calibri"/>
        <family val="2"/>
        <scheme val="minor"/>
      </rPr>
      <t>: Se paga en el hotel USD 15 por persona.</t>
    </r>
  </si>
  <si>
    <t>El Templo de Luxor - معبد الاقصر</t>
  </si>
  <si>
    <r>
      <t xml:space="preserve">• </t>
    </r>
    <r>
      <rPr>
        <b/>
        <sz val="8"/>
        <color rgb="FFFF0000"/>
        <rFont val="Calibri"/>
        <family val="2"/>
        <scheme val="minor"/>
      </rPr>
      <t>Horario</t>
    </r>
    <r>
      <rPr>
        <sz val="8"/>
        <color rgb="FFFF0000"/>
        <rFont val="Calibri"/>
        <family val="2"/>
        <scheme val="minor"/>
      </rPr>
      <t>: 06:00 - 20:00</t>
    </r>
  </si>
  <si>
    <t>Al Sahaby Lane</t>
  </si>
  <si>
    <t>• Esta en la asotea del hotel y tiene una excelente vista con buenos precios.</t>
  </si>
  <si>
    <t>Comprar desayuno</t>
  </si>
  <si>
    <t>• Comprar para desayunar al día siguiente y también algo de mecato.</t>
  </si>
  <si>
    <t>Día 2 - Regreso al Cairo</t>
  </si>
  <si>
    <t>Luxor (Egipto) - El Cairo (Egipto)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</si>
  <si>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06:30 - Llegada: 07:40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MS061 -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Egyptair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UWVVLG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(8 kg - 55 x 40 x 23) + 1 Facturada (23 kg)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Luxor International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Cairo International T3</t>
    </r>
  </si>
  <si>
    <t>Día 1 - El Cairo Islámico</t>
  </si>
  <si>
    <t>Museo Egipcio, La Ciudadela Y El Bazar De Khan Khalili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</si>
  <si>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15 -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US 0 -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US 90 -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US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1447648041/1061566439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>: https://www.emotoursegypt.com</t>
    </r>
  </si>
  <si>
    <t>Falak Book Store</t>
  </si>
  <si>
    <t>• Esta a la vuelta del hotel y tiene desayunos.</t>
  </si>
  <si>
    <t>Museo Egipcio del Cairo - المتحف المصري بالقاهرة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</si>
  <si>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09:00 - 17:00 -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EGP 300 -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NA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No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Orden ID</t>
    </r>
    <r>
      <rPr>
        <sz val="8"/>
        <color theme="1"/>
        <rFont val="Calibri"/>
        <family val="2"/>
        <scheme val="minor"/>
      </rPr>
      <t>: 8Q8CTSAF</t>
    </r>
  </si>
  <si>
    <t>• Podemos seguir la recomendación del guia o probar el Kushari (Arroz con de lentejas y pasta) en un sitio que el recomiende. En varios sitios hablan de un resturante local llamado Koshary Abu Tariq - كشري أبو طارق.</t>
  </si>
  <si>
    <t>Ciudadela de El Cairo - قلعة صلاح الدين الأيوبي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</si>
  <si>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09:00 - 17:00 -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EGP 300 -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NA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No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Se compran en el sitio.</t>
    </r>
  </si>
  <si>
    <t>Jan el-Jalili</t>
  </si>
  <si>
    <t>• Incluido como parte del tour.</t>
  </si>
  <si>
    <t>Jan el-Jalili - hotel</t>
  </si>
  <si>
    <r>
      <t xml:space="preserve">• </t>
    </r>
    <r>
      <rPr>
        <b/>
        <sz val="8"/>
        <color theme="1"/>
        <rFont val="Calibri"/>
        <family val="2"/>
        <scheme val="minor"/>
      </rPr>
      <t>Check In</t>
    </r>
    <r>
      <rPr>
        <sz val="8"/>
        <color theme="1"/>
        <rFont val="Calibri"/>
        <family val="2"/>
        <scheme val="minor"/>
      </rPr>
      <t>: 13:00 -</t>
    </r>
    <r>
      <rPr>
        <b/>
        <sz val="8"/>
        <color theme="1"/>
        <rFont val="Calibri"/>
        <family val="2"/>
        <scheme val="minor"/>
      </rPr>
      <t xml:space="preserve"> Check Out</t>
    </r>
    <r>
      <rPr>
        <sz val="8"/>
        <color theme="1"/>
        <rFont val="Calibri"/>
        <family val="2"/>
        <scheme val="minor"/>
      </rPr>
      <t xml:space="preserve">: 11:30 -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2 x (3 Ind)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2609292000 (PIN: 6004)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Booking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>: 8 Ibrahim Naguib Garden City, القاهرة 11511 مصر</t>
    </r>
  </si>
  <si>
    <t>Hotel - CaiRoma</t>
  </si>
  <si>
    <t>CaiRoma</t>
  </si>
  <si>
    <t>• Comida Italiana, recomendado a buen precio. Para descansar la comida egipcia.</t>
  </si>
  <si>
    <t>CaiRoma - Hotel</t>
  </si>
  <si>
    <t>Día 2 -  Pirámides de Guiza y El Museo Egipcio</t>
  </si>
  <si>
    <t>Anticipo tour a las pirámides</t>
  </si>
  <si>
    <t>Pirámides de Guiza, Menfis y Saqqara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</si>
  <si>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85 -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US 65 -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US 510 -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US 390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NA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</t>
    </r>
    <r>
      <rPr>
        <b/>
        <sz val="8"/>
        <color theme="1"/>
        <rFont val="Calibri"/>
        <family val="2"/>
        <scheme val="minor"/>
      </rPr>
      <t>• Web</t>
    </r>
    <r>
      <rPr>
        <sz val="8"/>
        <color theme="1"/>
        <rFont val="Calibri"/>
        <family val="2"/>
        <scheme val="minor"/>
      </rPr>
      <t>: https://spain.egypttoursportal.com/</t>
    </r>
  </si>
  <si>
    <t>El Complejo de Las Pirámides de Guiza</t>
  </si>
  <si>
    <t>La Gran Pirámide</t>
  </si>
  <si>
    <t>La Gran Esfinge</t>
  </si>
  <si>
    <t>El Templo del Valle</t>
  </si>
  <si>
    <t>La Pirámide Escalonada de Saqara</t>
  </si>
  <si>
    <t>La ciudad de Menfis / Gran Museo Egipcio (GEM)</t>
  </si>
  <si>
    <t>• Se visita como parte del tour. Si el GEM esta abierto se hace en lugar de Memfis.</t>
  </si>
  <si>
    <t>• Es una hora hasta al hotel por lo que quizás convenga quedarnos a cenar de una vez.</t>
  </si>
  <si>
    <t>El Hadaba</t>
  </si>
  <si>
    <t>• Restaurante con vista a las pirámides, decirle al tour que nos deje aquí.</t>
  </si>
  <si>
    <t>Uber</t>
  </si>
  <si>
    <t>El Hadaba - Hotel</t>
  </si>
  <si>
    <t>Día 3 - Viaje a Marruecos</t>
  </si>
  <si>
    <t>• Orden: 18732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</si>
  <si>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24 H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CAC VIP "G" Lounge - </t>
    </r>
    <r>
      <rPr>
        <b/>
        <sz val="8"/>
        <color theme="1"/>
        <rFont val="Calibri"/>
        <family val="2"/>
        <scheme val="minor"/>
      </rPr>
      <t>Tiempo</t>
    </r>
    <r>
      <rPr>
        <sz val="8"/>
        <color theme="1"/>
        <rFont val="Calibri"/>
        <family val="2"/>
        <scheme val="minor"/>
      </rPr>
      <t xml:space="preserve">: 3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Visa</t>
    </r>
  </si>
  <si>
    <t>El Cairo (Egipto) - Casablanca (Marruecos)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</si>
  <si>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09:05 -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12:30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AT9411 -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Royal Air Maroc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45PF6R - NRAAQC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(10 kg - 55 x 40 x 20) + 2 Facturada (23 kg)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Cairo International T3 -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Mohammed V T1</t>
    </r>
  </si>
  <si>
    <t>Marruecos</t>
  </si>
  <si>
    <t>Casablanca</t>
  </si>
  <si>
    <t>Día 1 - Casablanca</t>
  </si>
  <si>
    <t>Casablanca con traslado de ida y vuelta al aeropuerto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</si>
  <si>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USD 60 -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>: USD 0  -</t>
    </r>
    <r>
      <rPr>
        <b/>
        <sz val="8"/>
        <color theme="1"/>
        <rFont val="Calibri"/>
        <family val="2"/>
        <scheme val="minor"/>
      </rPr>
      <t xml:space="preserve"> Valor grupo</t>
    </r>
    <r>
      <rPr>
        <sz val="8"/>
        <color theme="1"/>
        <rFont val="Calibri"/>
        <family val="2"/>
        <scheme val="minor"/>
      </rPr>
      <t xml:space="preserve">: USD 175 -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USD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B9173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>: https://www.premiumtransfersandtours.com/</t>
    </r>
  </si>
  <si>
    <t>Aeropuerto Mohammed V - Hotel</t>
  </si>
  <si>
    <t>MAD</t>
  </si>
  <si>
    <t>Mezquita Hassan II - مسجد الحسن الثاني</t>
  </si>
  <si>
    <t>• La más grande de Marruecos y África y la más alta del mundo.</t>
  </si>
  <si>
    <t>Rick's Café</t>
  </si>
  <si>
    <t>• Legendario gracias al cine y en especial a este destino cinematográfico.</t>
  </si>
  <si>
    <t>The Corniche</t>
  </si>
  <si>
    <t>• Sus grandes avenidas y la arquitectura que combina los estilos moderno y morisco.</t>
  </si>
  <si>
    <t>Square of Mohammed V</t>
  </si>
  <si>
    <t>• Corazón de la ciudad y atrae a muchos visitantes de todo el mundo.</t>
  </si>
  <si>
    <t>Notre Dame de Lourdes</t>
  </si>
  <si>
    <t>• Una catedral asombrosa con una arquitectura moderna con paredes de vitrales.</t>
  </si>
  <si>
    <t>Quartier Habous</t>
  </si>
  <si>
    <t>• Distrito del casco antiguo de la ciudad, fue construido en el período colonial francés.</t>
  </si>
  <si>
    <t>Central Marketplace</t>
  </si>
  <si>
    <t>• Adecuado para quienes desean mezclarse con el estilo de vida local marroquí.</t>
  </si>
  <si>
    <t>Central Marketplace - Estacion Casa Voyageurs</t>
  </si>
  <si>
    <t>Sacar Dinares Marroquíes del cajero</t>
  </si>
  <si>
    <r>
      <t xml:space="preserve">• </t>
    </r>
    <r>
      <rPr>
        <b/>
        <sz val="8"/>
        <color theme="1"/>
        <rFont val="Calibri"/>
        <family val="2"/>
        <scheme val="minor"/>
      </rPr>
      <t>Total requerido</t>
    </r>
    <r>
      <rPr>
        <sz val="8"/>
        <color theme="1"/>
        <rFont val="Calibri"/>
        <family val="2"/>
        <scheme val="minor"/>
      </rPr>
      <t xml:space="preserve">: MAD 900 - </t>
    </r>
    <r>
      <rPr>
        <b/>
        <sz val="8"/>
        <color theme="1"/>
        <rFont val="Calibri"/>
        <family val="2"/>
        <scheme val="minor"/>
      </rPr>
      <t>Valor esperado</t>
    </r>
    <r>
      <rPr>
        <sz val="8"/>
        <color theme="1"/>
        <rFont val="Calibri"/>
        <family val="2"/>
        <scheme val="minor"/>
      </rPr>
      <t>: EUR 90</t>
    </r>
  </si>
  <si>
    <t>• Cenar en la estación de trenes.</t>
  </si>
  <si>
    <t>Casablanca (Marruecos) - Marrakech (Marruecos)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</si>
  <si>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19:35 -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22:14
• </t>
    </r>
    <r>
      <rPr>
        <b/>
        <sz val="8"/>
        <color theme="1"/>
        <rFont val="Calibri"/>
        <family val="2"/>
        <scheme val="minor"/>
      </rPr>
      <t>Tren</t>
    </r>
    <r>
      <rPr>
        <sz val="8"/>
        <color theme="1"/>
        <rFont val="Calibri"/>
        <family val="2"/>
        <scheme val="minor"/>
      </rPr>
      <t xml:space="preserve">: 128 - </t>
    </r>
    <r>
      <rPr>
        <b/>
        <sz val="8"/>
        <color theme="1"/>
        <rFont val="Calibri"/>
        <family val="2"/>
        <scheme val="minor"/>
      </rPr>
      <t>Compañía</t>
    </r>
    <r>
      <rPr>
        <sz val="8"/>
        <color theme="1"/>
        <rFont val="Calibri"/>
        <family val="2"/>
        <scheme val="minor"/>
      </rPr>
      <t xml:space="preserve">: Al Atlas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FTYZLE
• </t>
    </r>
    <r>
      <rPr>
        <b/>
        <sz val="8"/>
        <color theme="1"/>
        <rFont val="Calibri"/>
        <family val="2"/>
        <scheme val="minor"/>
      </rPr>
      <t>Estación salida</t>
    </r>
    <r>
      <rPr>
        <sz val="8"/>
        <color theme="1"/>
        <rFont val="Calibri"/>
        <family val="2"/>
        <scheme val="minor"/>
      </rPr>
      <t xml:space="preserve">: Casa Voyageurs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Marrakech Train Station</t>
    </r>
  </si>
  <si>
    <t>Marrakech</t>
  </si>
  <si>
    <t>Día 1 - Llegada a Marrakech</t>
  </si>
  <si>
    <t>Estacion de trenes - Hotel</t>
  </si>
  <si>
    <t>Hotel Safia</t>
  </si>
  <si>
    <r>
      <t xml:space="preserve">• </t>
    </r>
    <r>
      <rPr>
        <b/>
        <sz val="8"/>
        <color theme="1"/>
        <rFont val="Calibri"/>
        <family val="2"/>
        <scheme val="minor"/>
      </rPr>
      <t>Check In</t>
    </r>
    <r>
      <rPr>
        <sz val="8"/>
        <color theme="1"/>
        <rFont val="Calibri"/>
        <family val="2"/>
        <scheme val="minor"/>
      </rPr>
      <t xml:space="preserve">: 14:00 - </t>
    </r>
    <r>
      <rPr>
        <b/>
        <sz val="8"/>
        <color theme="1"/>
        <rFont val="Calibri"/>
        <family val="2"/>
        <scheme val="minor"/>
      </rPr>
      <t>Check Out</t>
    </r>
    <r>
      <rPr>
        <sz val="8"/>
        <color theme="1"/>
        <rFont val="Calibri"/>
        <family val="2"/>
        <scheme val="minor"/>
      </rPr>
      <t xml:space="preserve">: 12:00 -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1 x (3 Ind)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2286902392 (PIN: 7630)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Booking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>: 18 Avenue Hassan II, Marrakech 40000</t>
    </r>
  </si>
  <si>
    <t>Día 2 - Marrakech - Tinghir (1 de 3)</t>
  </si>
  <si>
    <t>Recomendaciones del tour</t>
  </si>
  <si>
    <t>• Llevar efectivo en moneda local.</t>
  </si>
  <si>
    <t>Tour por el Sahara y dunas Erg Chebbi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</si>
  <si>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</t>
    </r>
    <r>
      <rPr>
        <sz val="8"/>
        <color theme="1"/>
        <rFont val="Calibri"/>
        <family val="2"/>
      </rPr>
      <t>€</t>
    </r>
    <r>
      <rPr>
        <sz val="8"/>
        <color theme="1"/>
        <rFont val="Calibri"/>
        <family val="2"/>
        <scheme val="minor"/>
      </rPr>
      <t xml:space="preserve"> 108 -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>: € 0  -</t>
    </r>
    <r>
      <rPr>
        <b/>
        <sz val="8"/>
        <color theme="1"/>
        <rFont val="Calibri"/>
        <family val="2"/>
        <scheme val="minor"/>
      </rPr>
      <t xml:space="preserve"> Valor grupo</t>
    </r>
    <r>
      <rPr>
        <sz val="8"/>
        <color theme="1"/>
        <rFont val="Calibri"/>
        <family val="2"/>
        <scheme val="minor"/>
      </rPr>
      <t xml:space="preserve">: € 324 -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€ 0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3353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Ingles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>: https://www.marrakeshtravelservices.com/</t>
    </r>
  </si>
  <si>
    <t>Hotel - Ait Ben Haddou Kasbah</t>
  </si>
  <si>
    <t>Ait Ben Haddou Kasbah</t>
  </si>
  <si>
    <t>• Recorrido turístico.</t>
  </si>
  <si>
    <t>Almuerzo (L’oasis D’or)</t>
  </si>
  <si>
    <t>• Tajine de pollo con cuscús y sopa Harira. El restaurante lo eligen los del tour.</t>
  </si>
  <si>
    <t>Ait Ben Haddou Kasbah - Tinghir</t>
  </si>
  <si>
    <t>Tinghir</t>
  </si>
  <si>
    <t>Día 3 - Tinghir - Merzouga (2 de 3)</t>
  </si>
  <si>
    <t>Hotel - Gargantas del Todra</t>
  </si>
  <si>
    <t>Gargantas del Todra</t>
  </si>
  <si>
    <t>Almuerzo (Touroug Café)</t>
  </si>
  <si>
    <t>• Brochetas de pollo, méchoui, kefta y bebidas. El restaurante lo eligen los del tour.</t>
  </si>
  <si>
    <t>Gargantas del Todra - Erfoud</t>
  </si>
  <si>
    <t>Erfoud</t>
  </si>
  <si>
    <t>Erfoud - Erg Chebbi</t>
  </si>
  <si>
    <t>Erg Chebbi</t>
  </si>
  <si>
    <t>Camello</t>
  </si>
  <si>
    <t>Erg Chebbi - Merzouga</t>
  </si>
  <si>
    <t>• Paseo en camello, puesta de sol y vistas panorámicas por el camino.</t>
  </si>
  <si>
    <t>Desierto</t>
  </si>
  <si>
    <t>Merzouga</t>
  </si>
  <si>
    <t>Tiempo libre y actividades del campamento</t>
  </si>
  <si>
    <t>Día 4 - Merzouga - Marrakech (3 de 3)</t>
  </si>
  <si>
    <t>Merzouga - Erg Chebbi</t>
  </si>
  <si>
    <t>• Paseo en camello y salida del sol.</t>
  </si>
  <si>
    <t>Erg Chebbi - Ouarzazate</t>
  </si>
  <si>
    <t>Ouarzazate</t>
  </si>
  <si>
    <t>Almuerzo (Café Restaurant Rafik)</t>
  </si>
  <si>
    <t>• El restaurante lo eligen los del tour.</t>
  </si>
  <si>
    <t>Ouarzazate - Hotel en Marrakech</t>
  </si>
  <si>
    <t>Riad Bayti</t>
  </si>
  <si>
    <r>
      <t xml:space="preserve">• </t>
    </r>
    <r>
      <rPr>
        <b/>
        <sz val="8"/>
        <color theme="1"/>
        <rFont val="Calibri"/>
        <family val="2"/>
        <scheme val="minor"/>
      </rPr>
      <t>Check In</t>
    </r>
    <r>
      <rPr>
        <sz val="8"/>
        <color theme="1"/>
        <rFont val="Calibri"/>
        <family val="2"/>
        <scheme val="minor"/>
      </rPr>
      <t xml:space="preserve">: 13:00 - </t>
    </r>
    <r>
      <rPr>
        <b/>
        <sz val="8"/>
        <color theme="1"/>
        <rFont val="Calibri"/>
        <family val="2"/>
        <scheme val="minor"/>
      </rPr>
      <t>Check Out</t>
    </r>
    <r>
      <rPr>
        <sz val="8"/>
        <color theme="1"/>
        <rFont val="Calibri"/>
        <family val="2"/>
        <scheme val="minor"/>
      </rPr>
      <t xml:space="preserve">: 12:00 -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1 x (1 Ind + 1 Dob)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3733751370 (PIN: 0646)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Booking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>: 35 Derb Saka, Bab Mellah, Medina, Mellah</t>
    </r>
  </si>
  <si>
    <t>Reservar transfer</t>
  </si>
  <si>
    <t>• Reservar el transfer para el día siguiente de una vez.</t>
  </si>
  <si>
    <t>Mazel</t>
  </si>
  <si>
    <t>• Muy recomendado con excelentes bowls y pitas. A 2 minutis del hotel.</t>
  </si>
  <si>
    <t>Día 5 - Free tour por Marrakech</t>
  </si>
  <si>
    <t>Hotel - Hotel Islane</t>
  </si>
  <si>
    <t>Free tour por Marrakech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</si>
  <si>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€ 0 -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€ 0 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€ 0 -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€ 0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MAR4822729 -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 xml:space="preserve">: https://www.guruwalk.com/es/walks/40118-el-mejor-free-tour-de-marrakech-4h-para-descubrir-los-secretos-mejor-guardados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El tour sale del Hotel Islane a las 09:45.</t>
    </r>
  </si>
  <si>
    <t>Mezquita Kutubía - جامع الكتبية</t>
  </si>
  <si>
    <t>• Construcción en piedra arenisca rosada típica de la ciudad</t>
  </si>
  <si>
    <t>Tumbas saadíes - ضريح السعديين</t>
  </si>
  <si>
    <r>
      <t xml:space="preserve">• Uno de los lugares más visitados de Marrakech.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>: DH 70</t>
    </r>
  </si>
  <si>
    <t>Palacio de la bahía - قصر الباهية</t>
  </si>
  <si>
    <r>
      <t xml:space="preserve">• Mezcla a la perfección estilos árabes y andaluces.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>: DH 70</t>
    </r>
  </si>
  <si>
    <t>Plaza Jemaa el-Fna - ساحة جامع الفنا</t>
  </si>
  <si>
    <t>• Centro neurálgico de la ciudad</t>
  </si>
  <si>
    <t>Plaza Jemaa el-Fna - Dar Chef</t>
  </si>
  <si>
    <t>Dar Chef</t>
  </si>
  <si>
    <t>• Recomendada la pastilla y la mroziya.</t>
  </si>
  <si>
    <t>Dar Chef - Hotel</t>
  </si>
  <si>
    <t>• Reservado con el hotel el día anterior.</t>
  </si>
  <si>
    <t>CheckIn + Migración + Espera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</si>
  <si>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24 H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Pearl Lounge (Departure) - </t>
    </r>
    <r>
      <rPr>
        <b/>
        <sz val="8"/>
        <color theme="1"/>
        <rFont val="Calibri"/>
        <family val="2"/>
        <scheme val="minor"/>
      </rPr>
      <t>Tiempo</t>
    </r>
    <r>
      <rPr>
        <sz val="8"/>
        <color theme="1"/>
        <rFont val="Calibri"/>
        <family val="2"/>
        <scheme val="minor"/>
      </rPr>
      <t xml:space="preserve">: 3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Visa</t>
    </r>
  </si>
  <si>
    <t xml:space="preserve"> Marruecos (Marrakech) - Madrid (España)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</si>
  <si>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18:25 -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21:20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IB3343 -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Iberia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NE2K9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(10 kg - 56 x 40 x 25) + Art. personal (40 x 30 x 15)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Menara T1 -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Adolfo Suarez-Barajas T4S</t>
    </r>
  </si>
  <si>
    <t>España</t>
  </si>
  <si>
    <t>Madrid</t>
  </si>
  <si>
    <t>Dia 1 - Llegada a Madrid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</si>
  <si>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24 H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Sala VIP Neptuno - </t>
    </r>
    <r>
      <rPr>
        <b/>
        <sz val="8"/>
        <color theme="1"/>
        <rFont val="Calibri"/>
        <family val="2"/>
        <scheme val="minor"/>
      </rPr>
      <t>Tiempo</t>
    </r>
    <r>
      <rPr>
        <sz val="8"/>
        <color theme="1"/>
        <rFont val="Calibri"/>
        <family val="2"/>
        <scheme val="minor"/>
      </rPr>
      <t xml:space="preserve">: 4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Visa / MasterCard</t>
    </r>
  </si>
  <si>
    <t>Dia 2 - Viaje a Bogota</t>
  </si>
  <si>
    <t>Esperar</t>
  </si>
  <si>
    <t>Madrid (España) - Bogota (Colombia)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</si>
  <si>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01:45 -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05:00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 AV47 -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Avianca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4PWRJ7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(10 kg - 55 x 35 x 25) + Art. personal (45 x 35 x 25)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Adolfo Suarez-Barajas T4S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El Dorado T1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</si>
</sst>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_(* #,##0.00_);_(* \(#,##0.00\);_(* &quot;-&quot;??_);_(@_)"/>
    <numFmt numFmtId="166" formatCode="_(* #,##0.0_);_(* \(#,##0.0\);_(* &quot;-&quot;??_);_(@_)"/>
    <numFmt numFmtId="167" formatCode="dd/mm\ hh:mm"/>
    <numFmt numFmtId="168" formatCode="dddd"/>
    <numFmt numFmtId="169" formatCode="_(&quot;$&quot;\ * #,##0.00_);_(&quot;$&quot;\ * \(#,##0.00\);_(&quot;$&quot;\ * &quot;-&quot;??_);_(@_)"/>
    <numFmt numFmtId="170" formatCode="_([$$-240A]\ * #,##0_);_([$$-240A]\ * \(#,##0\);_([$$-240A]\ * &quot;-&quot;??_);_(@_)"/>
    <numFmt numFmtId="171" formatCode="_(* #,##0_);_(* \(#,##0\);_(* &quot;-&quot;??_);_(@_)"/>
    <numFmt numFmtId="172" formatCode="_-[$$-240A]\ * #,##0.00_-;\-[$$-240A]\ * #,##0.00_-;_-[$$-240A]\ 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FontAwesome"/>
      <family val="3"/>
    </font>
    <font>
      <b/>
      <sz val="8"/>
      <color rgb="FF000000"/>
      <name val="Calibri"/>
      <family val="2"/>
      <scheme val="minor"/>
    </font>
    <font>
      <sz val="8"/>
      <color theme="6" tint="-0.249977111117893"/>
      <name val="FontAwesome"/>
      <family val="3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6" tint="-0.249977111117893"/>
      <name val="FontAwesome"/>
      <family val="3"/>
    </font>
    <font>
      <b/>
      <sz val="8"/>
      <color theme="1"/>
      <name val="Calibri"/>
      <family val="2"/>
      <scheme val="minor"/>
    </font>
    <font>
      <sz val="8"/>
      <color theme="1"/>
      <name val="Calibri"/>
      <scheme val="minor"/>
    </font>
    <font>
      <sz val="8"/>
      <color rgb="FF366092"/>
      <name val="Calibri"/>
      <scheme val="minor"/>
    </font>
    <font>
      <b/>
      <sz val="8"/>
      <color rgb="FF000000"/>
      <name val="Calibri"/>
      <scheme val="minor"/>
    </font>
    <font>
      <sz val="8"/>
      <color rgb="FF000000"/>
      <name val="Calibri"/>
      <scheme val="minor"/>
    </font>
    <font>
      <sz val="8"/>
      <color theme="4" tint="-0.249977111117893"/>
      <name val="Calibri"/>
      <family val="2"/>
      <scheme val="minor"/>
    </font>
    <font>
      <sz val="8"/>
      <color theme="1"/>
      <name val="Calibri"/>
      <family val="2"/>
    </font>
    <font>
      <b/>
      <sz val="8"/>
      <color theme="4" tint="-0.249977111117893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4"/>
      <color theme="1"/>
      <name val="Calibri"/>
      <family val="2"/>
    </font>
    <font>
      <sz val="9.6"/>
      <color theme="1"/>
      <name val="Calibri"/>
      <family val="2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FontAwesome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167" fontId="3" fillId="3" borderId="3" xfId="0" applyNumberFormat="1" applyFont="1" applyFill="1" applyBorder="1" applyAlignment="1">
      <alignment horizontal="center" vertical="center" wrapText="1"/>
    </xf>
    <xf numFmtId="168" fontId="3" fillId="3" borderId="3" xfId="0" applyNumberFormat="1" applyFont="1" applyFill="1" applyBorder="1" applyAlignment="1">
      <alignment horizontal="left" vertical="center" wrapText="1"/>
    </xf>
    <xf numFmtId="164" fontId="3" fillId="3" borderId="3" xfId="0" applyNumberFormat="1" applyFont="1" applyFill="1" applyBorder="1" applyAlignment="1">
      <alignment horizontal="right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166" fontId="3" fillId="3" borderId="3" xfId="1" applyNumberFormat="1" applyFont="1" applyFill="1" applyBorder="1" applyAlignment="1">
      <alignment horizontal="right" vertical="center" wrapText="1"/>
    </xf>
    <xf numFmtId="170" fontId="3" fillId="3" borderId="3" xfId="2" applyNumberFormat="1" applyFont="1" applyFill="1" applyBorder="1" applyAlignment="1">
      <alignment horizontal="left" vertical="center" wrapText="1"/>
    </xf>
    <xf numFmtId="171" fontId="2" fillId="3" borderId="5" xfId="1" applyNumberFormat="1" applyFont="1" applyFill="1" applyBorder="1" applyAlignment="1">
      <alignment horizontal="center" vertical="center"/>
    </xf>
    <xf numFmtId="172" fontId="4" fillId="0" borderId="0" xfId="0" applyNumberFormat="1" applyFont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 indent="1"/>
    </xf>
    <xf numFmtId="167" fontId="7" fillId="0" borderId="3" xfId="0" applyNumberFormat="1" applyFont="1" applyBorder="1" applyAlignment="1">
      <alignment horizontal="center" vertical="center" wrapText="1"/>
    </xf>
    <xf numFmtId="167" fontId="9" fillId="0" borderId="3" xfId="0" applyNumberFormat="1" applyFont="1" applyBorder="1" applyAlignment="1">
      <alignment horizontal="center" vertical="center" wrapText="1"/>
    </xf>
    <xf numFmtId="168" fontId="4" fillId="0" borderId="3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right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66" fontId="4" fillId="0" borderId="3" xfId="1" applyNumberFormat="1" applyFont="1" applyFill="1" applyBorder="1" applyAlignment="1">
      <alignment horizontal="right" vertical="center" wrapText="1"/>
    </xf>
    <xf numFmtId="170" fontId="4" fillId="0" borderId="3" xfId="2" applyNumberFormat="1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 indent="2"/>
    </xf>
    <xf numFmtId="0" fontId="10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 indent="3"/>
    </xf>
    <xf numFmtId="169" fontId="4" fillId="0" borderId="0" xfId="2" applyFont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 indent="2"/>
    </xf>
    <xf numFmtId="0" fontId="9" fillId="0" borderId="3" xfId="0" applyFont="1" applyBorder="1" applyAlignment="1">
      <alignment horizontal="center" vertical="center" wrapText="1"/>
    </xf>
    <xf numFmtId="9" fontId="4" fillId="0" borderId="0" xfId="3" applyFont="1" applyAlignment="1">
      <alignment horizontal="left" vertical="center"/>
    </xf>
    <xf numFmtId="0" fontId="9" fillId="0" borderId="4" xfId="0" applyFont="1" applyBorder="1" applyAlignment="1">
      <alignment horizontal="left" vertical="center" wrapText="1" indent="1"/>
    </xf>
    <xf numFmtId="166" fontId="4" fillId="0" borderId="3" xfId="1" applyNumberFormat="1" applyFont="1" applyFill="1" applyBorder="1" applyAlignment="1">
      <alignment horizontal="center" vertical="center" wrapText="1"/>
    </xf>
    <xf numFmtId="171" fontId="10" fillId="0" borderId="3" xfId="1" applyNumberFormat="1" applyFont="1" applyBorder="1" applyAlignment="1">
      <alignment horizontal="center" vertical="center"/>
    </xf>
    <xf numFmtId="166" fontId="4" fillId="0" borderId="3" xfId="1" applyNumberFormat="1" applyFont="1" applyFill="1" applyBorder="1" applyAlignment="1">
      <alignment horizontal="left" vertical="center" wrapText="1"/>
    </xf>
    <xf numFmtId="170" fontId="7" fillId="0" borderId="3" xfId="2" applyNumberFormat="1" applyFont="1" applyFill="1" applyBorder="1" applyAlignment="1">
      <alignment vertical="center" wrapText="1"/>
    </xf>
    <xf numFmtId="166" fontId="9" fillId="0" borderId="3" xfId="1" applyNumberFormat="1" applyFont="1" applyFill="1" applyBorder="1" applyAlignment="1">
      <alignment vertical="center" wrapText="1"/>
    </xf>
    <xf numFmtId="170" fontId="9" fillId="0" borderId="3" xfId="2" applyNumberFormat="1" applyFont="1" applyFill="1" applyBorder="1" applyAlignment="1">
      <alignment vertical="center" wrapText="1"/>
    </xf>
    <xf numFmtId="168" fontId="13" fillId="0" borderId="3" xfId="0" applyNumberFormat="1" applyFont="1" applyBorder="1" applyAlignment="1">
      <alignment horizontal="left" vertical="center" wrapText="1"/>
    </xf>
    <xf numFmtId="170" fontId="4" fillId="0" borderId="0" xfId="0" applyNumberFormat="1" applyFont="1" applyAlignment="1">
      <alignment horizontal="left" vertical="center"/>
    </xf>
    <xf numFmtId="168" fontId="17" fillId="0" borderId="3" xfId="0" applyNumberFormat="1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 indent="3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9" fontId="4" fillId="0" borderId="6" xfId="2" applyFont="1" applyBorder="1" applyAlignment="1">
      <alignment horizontal="center" vertical="center"/>
    </xf>
    <xf numFmtId="168" fontId="23" fillId="0" borderId="3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6" fontId="4" fillId="0" borderId="0" xfId="1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imena%20Hincapie\AppData\Local\Microsoft\Windows\INetCache\IE\1BYAQA2D\2023.09%20-%20History%20tour%5b1%5d.xlsx" TargetMode="External"/><Relationship Id="rId1" Type="http://schemas.openxmlformats.org/officeDocument/2006/relationships/externalLinkPath" Target="/Users/Jimena%20Hincapie/AppData/Local/Microsoft/Windows/INetCache/IE/1BYAQA2D/2023.09%20-%20History%20tour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inerario (2)"/>
      <sheetName val="Itinerario"/>
      <sheetName val="Sheet2"/>
      <sheetName val="Actividades"/>
      <sheetName val="Categories"/>
      <sheetName val="Viajeros"/>
      <sheetName val="Portada"/>
      <sheetName val="Opciones"/>
      <sheetName val="Sheet1"/>
    </sheetNames>
    <sheetDataSet>
      <sheetData sheetId="0"/>
      <sheetData sheetId="1"/>
      <sheetData sheetId="2"/>
      <sheetData sheetId="3">
        <row r="4">
          <cell r="R4" t="str">
            <v>COP</v>
          </cell>
        </row>
        <row r="5">
          <cell r="R5" t="str">
            <v>GBP</v>
          </cell>
        </row>
        <row r="6">
          <cell r="R6" t="str">
            <v>USD</v>
          </cell>
        </row>
        <row r="7">
          <cell r="R7" t="str">
            <v>EGP</v>
          </cell>
        </row>
        <row r="8">
          <cell r="R8" t="str">
            <v>EUR</v>
          </cell>
        </row>
        <row r="9">
          <cell r="R9" t="str">
            <v>MAD</v>
          </cell>
        </row>
      </sheetData>
      <sheetData sheetId="4">
        <row r="3">
          <cell r="B3" t="str">
            <v>Alimentación</v>
          </cell>
          <cell r="E3" t="str">
            <v>Almuerzo</v>
          </cell>
          <cell r="F3" t="str">
            <v></v>
          </cell>
        </row>
        <row r="4">
          <cell r="B4" t="str">
            <v>Aeropuerto</v>
          </cell>
          <cell r="E4" t="str">
            <v>Cena</v>
          </cell>
          <cell r="F4" t="str">
            <v></v>
          </cell>
        </row>
        <row r="5">
          <cell r="B5" t="str">
            <v>Resumen</v>
          </cell>
          <cell r="E5" t="str">
            <v>Desayuno</v>
          </cell>
          <cell r="F5" t="str">
            <v></v>
          </cell>
        </row>
        <row r="6">
          <cell r="B6" t="str">
            <v>Sitios</v>
          </cell>
          <cell r="E6" t="str">
            <v>Snack</v>
          </cell>
          <cell r="F6" t="str">
            <v></v>
          </cell>
        </row>
        <row r="7">
          <cell r="B7" t="str">
            <v>Otros</v>
          </cell>
          <cell r="E7" t="str">
            <v>Esperar</v>
          </cell>
          <cell r="F7" t="str">
            <v></v>
          </cell>
        </row>
        <row r="8">
          <cell r="B8" t="str">
            <v>Transporte</v>
          </cell>
          <cell r="E8" t="str">
            <v>Check + Esperar</v>
          </cell>
          <cell r="F8" t="str">
            <v></v>
          </cell>
        </row>
        <row r="9">
          <cell r="E9" t="str">
            <v>Check + Mig + Esp</v>
          </cell>
          <cell r="F9" t="str">
            <v></v>
          </cell>
        </row>
        <row r="10">
          <cell r="E10" t="str">
            <v>Esperar equipaje</v>
          </cell>
          <cell r="F10" t="str">
            <v></v>
          </cell>
        </row>
        <row r="11">
          <cell r="E11" t="str">
            <v>Inmigración</v>
          </cell>
          <cell r="F11" t="str">
            <v></v>
          </cell>
        </row>
        <row r="12">
          <cell r="E12" t="str">
            <v>Inmig + Equipaje</v>
          </cell>
          <cell r="F12" t="str">
            <v></v>
          </cell>
        </row>
        <row r="13">
          <cell r="E13" t="str">
            <v>Ciudad</v>
          </cell>
          <cell r="F13" t="str">
            <v></v>
          </cell>
        </row>
        <row r="14">
          <cell r="E14" t="str">
            <v>Día</v>
          </cell>
          <cell r="F14" t="str">
            <v></v>
          </cell>
        </row>
        <row r="15">
          <cell r="E15" t="str">
            <v>Itinerario</v>
          </cell>
          <cell r="F15" t="str">
            <v></v>
          </cell>
        </row>
        <row r="16">
          <cell r="E16" t="str">
            <v>País</v>
          </cell>
          <cell r="F16" t="str">
            <v></v>
          </cell>
        </row>
        <row r="17">
          <cell r="E17" t="str">
            <v>Edificio</v>
          </cell>
          <cell r="F17" t="str">
            <v></v>
          </cell>
        </row>
        <row r="18">
          <cell r="E18" t="str">
            <v>Edificio histórico</v>
          </cell>
          <cell r="F18" t="str">
            <v></v>
          </cell>
        </row>
        <row r="19">
          <cell r="E19" t="str">
            <v>Calle</v>
          </cell>
          <cell r="F19" t="str">
            <v></v>
          </cell>
        </row>
        <row r="20">
          <cell r="E20" t="str">
            <v>Centro</v>
          </cell>
          <cell r="F20" t="str">
            <v></v>
          </cell>
        </row>
        <row r="21">
          <cell r="E21" t="str">
            <v>C. de Cambio</v>
          </cell>
          <cell r="F21" t="str">
            <v></v>
          </cell>
        </row>
        <row r="22">
          <cell r="E22" t="str">
            <v>Casino</v>
          </cell>
          <cell r="F22" t="str">
            <v></v>
          </cell>
        </row>
        <row r="23">
          <cell r="E23" t="str">
            <v>Compras</v>
          </cell>
          <cell r="F23" t="str">
            <v></v>
          </cell>
        </row>
        <row r="24">
          <cell r="E24" t="str">
            <v>Desierto</v>
          </cell>
          <cell r="F24" t="str">
            <v></v>
          </cell>
        </row>
        <row r="25">
          <cell r="E25" t="str">
            <v>Embarcadero</v>
          </cell>
          <cell r="F25" t="str">
            <v></v>
          </cell>
        </row>
        <row r="26">
          <cell r="E26" t="str">
            <v>Hotel</v>
          </cell>
          <cell r="F26" t="str">
            <v></v>
          </cell>
        </row>
        <row r="27">
          <cell r="E27" t="str">
            <v>Mercado</v>
          </cell>
          <cell r="F27" t="str">
            <v></v>
          </cell>
        </row>
        <row r="28">
          <cell r="E28" t="str">
            <v>Mirador</v>
          </cell>
          <cell r="F28" t="str">
            <v></v>
          </cell>
        </row>
        <row r="29">
          <cell r="E29" t="str">
            <v>Monumento</v>
          </cell>
          <cell r="F29" t="str">
            <v></v>
          </cell>
        </row>
        <row r="30">
          <cell r="E30" t="str">
            <v>Museo</v>
          </cell>
          <cell r="F30" t="str">
            <v></v>
          </cell>
        </row>
        <row r="31">
          <cell r="E31" t="str">
            <v>Parque</v>
          </cell>
          <cell r="F31" t="str">
            <v></v>
          </cell>
        </row>
        <row r="32">
          <cell r="E32" t="str">
            <v>Playa</v>
          </cell>
          <cell r="F32" t="str">
            <v></v>
          </cell>
        </row>
        <row r="33">
          <cell r="E33" t="str">
            <v>Plaza</v>
          </cell>
          <cell r="F33" t="str">
            <v></v>
          </cell>
        </row>
        <row r="34">
          <cell r="E34" t="str">
            <v>Valle</v>
          </cell>
          <cell r="F34" t="str">
            <v></v>
          </cell>
        </row>
        <row r="35">
          <cell r="E35" t="str">
            <v>Templo religioso</v>
          </cell>
          <cell r="F35" t="str">
            <v></v>
          </cell>
        </row>
        <row r="36">
          <cell r="E36" t="str">
            <v>Actividades</v>
          </cell>
          <cell r="F36" t="str">
            <v></v>
          </cell>
        </row>
        <row r="37">
          <cell r="E37" t="str">
            <v>Anticipo</v>
          </cell>
          <cell r="F37" t="str">
            <v></v>
          </cell>
        </row>
        <row r="38">
          <cell r="E38" t="str">
            <v>A. Vehículo</v>
          </cell>
          <cell r="F38" t="str">
            <v></v>
          </cell>
        </row>
        <row r="39">
          <cell r="E39" t="str">
            <v>Cambiar dinero</v>
          </cell>
          <cell r="F39" t="str">
            <v></v>
          </cell>
        </row>
        <row r="40">
          <cell r="E40" t="str">
            <v>City Pass</v>
          </cell>
          <cell r="F40" t="str">
            <v></v>
          </cell>
        </row>
        <row r="41">
          <cell r="E41" t="str">
            <v>Comprar</v>
          </cell>
          <cell r="F41" t="str">
            <v></v>
          </cell>
        </row>
        <row r="42">
          <cell r="E42" t="str">
            <v>Descanso</v>
          </cell>
          <cell r="F42" t="str">
            <v></v>
          </cell>
        </row>
        <row r="43">
          <cell r="E43" t="str">
            <v>Espera</v>
          </cell>
          <cell r="F43" t="str">
            <v></v>
          </cell>
        </row>
        <row r="44">
          <cell r="E44" t="str">
            <v>Lavanderia</v>
          </cell>
          <cell r="F44" t="str">
            <v></v>
          </cell>
        </row>
        <row r="45">
          <cell r="E45" t="str">
            <v>Navegación</v>
          </cell>
          <cell r="F45" t="str">
            <v></v>
          </cell>
        </row>
        <row r="46">
          <cell r="E46" t="str">
            <v>Nota</v>
          </cell>
          <cell r="F46" t="str">
            <v></v>
          </cell>
        </row>
        <row r="47">
          <cell r="E47" t="str">
            <v>Retirar dinero</v>
          </cell>
          <cell r="F47" t="str">
            <v></v>
          </cell>
        </row>
        <row r="48">
          <cell r="E48" t="str">
            <v>Registro</v>
          </cell>
          <cell r="F48" t="str">
            <v></v>
          </cell>
        </row>
        <row r="49">
          <cell r="E49" t="str">
            <v>Seguro</v>
          </cell>
          <cell r="F49" t="str">
            <v></v>
          </cell>
        </row>
        <row r="50">
          <cell r="E50" t="str">
            <v>Tour</v>
          </cell>
          <cell r="F50" t="str">
            <v></v>
          </cell>
        </row>
        <row r="51">
          <cell r="E51" t="str">
            <v>Visa</v>
          </cell>
          <cell r="F51" t="str">
            <v></v>
          </cell>
        </row>
        <row r="52">
          <cell r="E52" t="str">
            <v>A pie</v>
          </cell>
          <cell r="F52" t="str">
            <v></v>
          </cell>
        </row>
        <row r="53">
          <cell r="E53" t="str">
            <v>Auto</v>
          </cell>
          <cell r="F53" t="str">
            <v></v>
          </cell>
        </row>
        <row r="54">
          <cell r="E54" t="str">
            <v>Avión</v>
          </cell>
          <cell r="F54" t="str">
            <v></v>
          </cell>
        </row>
        <row r="55">
          <cell r="E55" t="str">
            <v>Bicicleta</v>
          </cell>
          <cell r="F55" t="str">
            <v></v>
          </cell>
        </row>
        <row r="56">
          <cell r="E56" t="str">
            <v>Barco</v>
          </cell>
          <cell r="F56" t="str">
            <v></v>
          </cell>
        </row>
        <row r="57">
          <cell r="E57" t="str">
            <v>Bus</v>
          </cell>
          <cell r="F57" t="str">
            <v></v>
          </cell>
        </row>
        <row r="58">
          <cell r="E58" t="str">
            <v>Camello</v>
          </cell>
          <cell r="F58" t="str">
            <v></v>
          </cell>
        </row>
        <row r="59">
          <cell r="E59" t="str">
            <v>Ferry</v>
          </cell>
          <cell r="F59" t="str">
            <v></v>
          </cell>
        </row>
        <row r="60">
          <cell r="E60" t="str">
            <v>Kayak</v>
          </cell>
          <cell r="F60" t="str">
            <v></v>
          </cell>
        </row>
        <row r="61">
          <cell r="E61" t="str">
            <v>Lancha</v>
          </cell>
          <cell r="F61" t="str">
            <v></v>
          </cell>
        </row>
        <row r="62">
          <cell r="E62" t="str">
            <v>Metro</v>
          </cell>
          <cell r="F62" t="str">
            <v></v>
          </cell>
        </row>
        <row r="63">
          <cell r="E63" t="str">
            <v>Moto</v>
          </cell>
          <cell r="F63" t="str">
            <v></v>
          </cell>
        </row>
        <row r="64">
          <cell r="E64" t="str">
            <v>Taxi</v>
          </cell>
          <cell r="F64" t="str">
            <v></v>
          </cell>
        </row>
        <row r="65">
          <cell r="E65" t="str">
            <v>Teleférico</v>
          </cell>
          <cell r="F65" t="str">
            <v></v>
          </cell>
        </row>
        <row r="66">
          <cell r="E66" t="str">
            <v>Tranvía</v>
          </cell>
          <cell r="F66" t="str">
            <v></v>
          </cell>
        </row>
        <row r="67">
          <cell r="E67" t="str">
            <v>Transfer</v>
          </cell>
          <cell r="F67" t="str">
            <v></v>
          </cell>
        </row>
        <row r="68">
          <cell r="E68" t="str">
            <v>Tren</v>
          </cell>
          <cell r="F68" t="str">
            <v></v>
          </cell>
        </row>
        <row r="69">
          <cell r="E69" t="str">
            <v>Tuk Tuk</v>
          </cell>
          <cell r="F69" t="str">
            <v></v>
          </cell>
        </row>
        <row r="70">
          <cell r="E70" t="str">
            <v>Uber</v>
          </cell>
          <cell r="F70" t="str">
            <v></v>
          </cell>
        </row>
        <row r="71">
          <cell r="E71" t="str">
            <v>Van</v>
          </cell>
          <cell r="F71" t="str">
            <v>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5F5E-B1F6-417F-9BC0-44A9DB5A59EE}">
  <sheetPr>
    <outlinePr summaryBelow="0"/>
    <pageSetUpPr fitToPage="1"/>
  </sheetPr>
  <dimension ref="A1:T454"/>
  <sheetViews>
    <sheetView tabSelected="1" topLeftCell="C1" zoomScale="110" zoomScaleNormal="110" workbookViewId="0">
      <selection activeCell="R251" sqref="R251:S251"/>
    </sheetView>
  </sheetViews>
  <sheetFormatPr defaultColWidth="10.54296875" defaultRowHeight="13" outlineLevelRow="4"/>
  <cols>
    <col min="1" max="1" width="3.26953125" style="61" customWidth="1"/>
    <col min="2" max="2" width="10" style="8" hidden="1" customWidth="1"/>
    <col min="3" max="3" width="13.26953125" style="8" customWidth="1"/>
    <col min="4" max="4" width="2.54296875" style="62" bestFit="1" customWidth="1"/>
    <col min="5" max="5" width="37.1796875" style="8" bestFit="1" customWidth="1"/>
    <col min="6" max="6" width="5.26953125" style="63" hidden="1" customWidth="1"/>
    <col min="7" max="8" width="9.1796875" style="63" hidden="1" customWidth="1"/>
    <col min="9" max="9" width="61.81640625" style="8" bestFit="1" customWidth="1"/>
    <col min="10" max="10" width="4.81640625" style="64" hidden="1" customWidth="1"/>
    <col min="11" max="11" width="4.26953125" style="65" hidden="1" customWidth="1"/>
    <col min="12" max="12" width="4.26953125" style="66" hidden="1" customWidth="1"/>
    <col min="13" max="13" width="4.26953125" style="65" hidden="1" customWidth="1"/>
    <col min="14" max="14" width="9.453125" style="67" hidden="1" customWidth="1"/>
    <col min="15" max="16" width="9.453125" style="8" hidden="1" customWidth="1"/>
    <col min="17" max="17" width="5.54296875" style="68" hidden="1" customWidth="1"/>
    <col min="18" max="18" width="11.7265625" style="8" customWidth="1"/>
    <col min="19" max="19" width="15.453125" style="8" bestFit="1" customWidth="1"/>
    <col min="20" max="16384" width="10.54296875" style="8"/>
  </cols>
  <sheetData>
    <row r="1" spans="1:18" ht="10.5">
      <c r="A1" s="1"/>
      <c r="B1" s="2" t="s">
        <v>0</v>
      </c>
      <c r="C1" s="2" t="s">
        <v>1</v>
      </c>
      <c r="D1" s="3"/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4" t="s">
        <v>7</v>
      </c>
      <c r="K1" s="5" t="s">
        <v>8</v>
      </c>
      <c r="L1" s="6" t="s">
        <v>9</v>
      </c>
      <c r="M1" s="5" t="s">
        <v>10</v>
      </c>
      <c r="N1" s="7" t="s">
        <v>11</v>
      </c>
      <c r="O1" s="2" t="s">
        <v>12</v>
      </c>
      <c r="P1" s="2" t="s">
        <v>13</v>
      </c>
      <c r="Q1" s="2" t="s">
        <v>14</v>
      </c>
    </row>
    <row r="2" spans="1:18" ht="10.5" hidden="1">
      <c r="A2" s="9">
        <v>0</v>
      </c>
      <c r="B2" s="10" t="s">
        <v>15</v>
      </c>
      <c r="C2" s="10" t="s">
        <v>16</v>
      </c>
      <c r="D2" s="11" t="str">
        <f t="shared" ref="D2:D248" si="0">IFERROR(VLOOKUP(C2,Todos,2,FALSE),"")</f>
        <v></v>
      </c>
      <c r="E2" s="12" t="s">
        <v>17</v>
      </c>
      <c r="F2" s="13">
        <f>F3+F15+F16+F111+F112+F248+F249+F447+F448+F454+F370+F371</f>
        <v>33420</v>
      </c>
      <c r="G2" s="14">
        <f>G6</f>
        <v>45193</v>
      </c>
      <c r="H2" s="14">
        <f t="shared" ref="H2:H115" si="1">G2+(F2/24)/60</f>
        <v>45216.208333333336</v>
      </c>
      <c r="I2" s="15" t="str">
        <f>PROPER(TEXT(G2,"dddd")) &amp; " - Días Totales: " &amp; ROUND(F2/1440,0)</f>
        <v>Domingo - Días Totales: 23</v>
      </c>
      <c r="J2" s="16">
        <f>J3+J15+J16+J111+J112+J248+J249+J447+J448+J454+J370+J371</f>
        <v>109.15</v>
      </c>
      <c r="K2" s="17"/>
      <c r="L2" s="18"/>
      <c r="M2" s="17"/>
      <c r="N2" s="19"/>
      <c r="O2" s="20" t="e">
        <f ca="1">O3+O15+O16+O111+O112+O248+O249+O447+O448+O454+O370+O371</f>
        <v>#REF!</v>
      </c>
      <c r="P2" s="20" t="e">
        <f ca="1">P3+P15+P16+P111+P112+P248+P249+P447+P448+P454+P370+P371</f>
        <v>#REF!</v>
      </c>
      <c r="Q2" s="21">
        <f>AVERAGE(Q3,Q15,Q16,Q111,Q112,Q248,Q249,Q447,Q448,Q454,Q370,Q371)</f>
        <v>3</v>
      </c>
      <c r="R2" s="22"/>
    </row>
    <row r="3" spans="1:18" hidden="1" outlineLevel="1" collapsed="1">
      <c r="A3" s="23">
        <v>0</v>
      </c>
      <c r="B3" s="24" t="s">
        <v>15</v>
      </c>
      <c r="C3" s="24" t="s">
        <v>18</v>
      </c>
      <c r="D3" s="25" t="str">
        <f t="shared" si="0"/>
        <v></v>
      </c>
      <c r="E3" s="26" t="s">
        <v>19</v>
      </c>
      <c r="F3" s="23">
        <f>F4</f>
        <v>1395</v>
      </c>
      <c r="G3" s="27">
        <f>G6</f>
        <v>45193</v>
      </c>
      <c r="H3" s="28">
        <f t="shared" si="1"/>
        <v>45193.96875</v>
      </c>
      <c r="I3" s="29" t="str">
        <f>PROPER(TEXT(G3,"dddd")) &amp; " - Días Totales: " &amp; ROUND(F3/1440,0)</f>
        <v>Domingo - Días Totales: 1</v>
      </c>
      <c r="J3" s="30">
        <f>J4</f>
        <v>0</v>
      </c>
      <c r="K3" s="31"/>
      <c r="L3" s="32"/>
      <c r="M3" s="31"/>
      <c r="N3" s="33"/>
      <c r="O3" s="34" t="e">
        <f ca="1">O4</f>
        <v>#REF!</v>
      </c>
      <c r="P3" s="34" t="e">
        <f ca="1">P4</f>
        <v>#REF!</v>
      </c>
      <c r="Q3" s="35">
        <f>AVERAGE(Q4)</f>
        <v>3</v>
      </c>
      <c r="R3" s="22"/>
    </row>
    <row r="4" spans="1:18" hidden="1" outlineLevel="2">
      <c r="A4" s="23">
        <v>0</v>
      </c>
      <c r="B4" s="24" t="s">
        <v>15</v>
      </c>
      <c r="C4" s="24" t="s">
        <v>20</v>
      </c>
      <c r="D4" s="36" t="str">
        <f t="shared" si="0"/>
        <v></v>
      </c>
      <c r="E4" s="37" t="s">
        <v>21</v>
      </c>
      <c r="F4" s="23">
        <f>F5+F11</f>
        <v>1395</v>
      </c>
      <c r="G4" s="27">
        <f>G6</f>
        <v>45193</v>
      </c>
      <c r="H4" s="27">
        <f t="shared" si="1"/>
        <v>45193.96875</v>
      </c>
      <c r="I4" s="29" t="str">
        <f>PROPER(TEXT(G4,"dddd"))</f>
        <v>Domingo</v>
      </c>
      <c r="J4" s="30"/>
      <c r="K4" s="31"/>
      <c r="L4" s="32"/>
      <c r="M4" s="31"/>
      <c r="N4" s="33"/>
      <c r="O4" s="34" t="e">
        <f ca="1">O5+O11</f>
        <v>#REF!</v>
      </c>
      <c r="P4" s="34" t="e">
        <f ca="1">P5+P11</f>
        <v>#REF!</v>
      </c>
      <c r="Q4" s="38">
        <f>AVERAGE(Q5)</f>
        <v>3</v>
      </c>
      <c r="R4" s="22"/>
    </row>
    <row r="5" spans="1:18" hidden="1" outlineLevel="3">
      <c r="A5" s="23">
        <v>0</v>
      </c>
      <c r="B5" s="24" t="s">
        <v>15</v>
      </c>
      <c r="C5" s="24" t="s">
        <v>22</v>
      </c>
      <c r="D5" s="36" t="str">
        <f t="shared" si="0"/>
        <v></v>
      </c>
      <c r="E5" s="39" t="s">
        <v>23</v>
      </c>
      <c r="F5" s="23">
        <f>SUM(F6:F10)</f>
        <v>0</v>
      </c>
      <c r="G5" s="27">
        <f>G6</f>
        <v>45193</v>
      </c>
      <c r="H5" s="28">
        <f t="shared" si="1"/>
        <v>45193</v>
      </c>
      <c r="I5" s="29" t="str">
        <f>PROPER(TEXT(G5,"dddd"))</f>
        <v>Domingo</v>
      </c>
      <c r="J5" s="30"/>
      <c r="K5" s="31"/>
      <c r="L5" s="32"/>
      <c r="M5" s="31"/>
      <c r="N5" s="33"/>
      <c r="O5" s="34" t="e">
        <f ca="1">SUM(O6:O10)</f>
        <v>#REF!</v>
      </c>
      <c r="P5" s="34" t="e">
        <f ca="1">SUM(P6:P10)</f>
        <v>#REF!</v>
      </c>
      <c r="Q5" s="38">
        <f>AVERAGE(Q6:Q10)</f>
        <v>3</v>
      </c>
      <c r="R5" s="40"/>
    </row>
    <row r="6" spans="1:18" hidden="1" outlineLevel="4">
      <c r="A6" s="23">
        <v>0</v>
      </c>
      <c r="B6" s="41" t="s">
        <v>24</v>
      </c>
      <c r="C6" s="41" t="s">
        <v>25</v>
      </c>
      <c r="D6" s="25" t="str">
        <f t="shared" si="0"/>
        <v></v>
      </c>
      <c r="E6" s="42" t="s">
        <v>26</v>
      </c>
      <c r="F6" s="43">
        <v>0</v>
      </c>
      <c r="G6" s="28">
        <v>45193</v>
      </c>
      <c r="H6" s="28">
        <f t="shared" si="1"/>
        <v>45193</v>
      </c>
      <c r="I6" s="29"/>
      <c r="J6" s="30"/>
      <c r="K6" s="31" t="s">
        <v>27</v>
      </c>
      <c r="L6" s="32">
        <v>6</v>
      </c>
      <c r="M6" s="31" t="s">
        <v>28</v>
      </c>
      <c r="N6" s="33">
        <v>570000</v>
      </c>
      <c r="O6" s="34" t="e" cm="1">
        <f t="array" aca="1" ref="O6" ca="1">IF(K6="SI",IF(N6&lt;&gt;0,(INDIRECT(M6)*N6)/L6,0),0)</f>
        <v>#REF!</v>
      </c>
      <c r="P6" s="34" t="e" cm="1">
        <f t="array" aca="1" ref="P6" ca="1">IF(N6&lt;&gt;0,(INDIRECT(M6)*N6)/L6,0)</f>
        <v>#REF!</v>
      </c>
      <c r="Q6" s="38">
        <v>3</v>
      </c>
    </row>
    <row r="7" spans="1:18" hidden="1" outlineLevel="4">
      <c r="A7" s="23">
        <v>0</v>
      </c>
      <c r="B7" s="41" t="s">
        <v>24</v>
      </c>
      <c r="C7" s="41" t="s">
        <v>25</v>
      </c>
      <c r="D7" s="25" t="str">
        <f t="shared" ref="D7:D253" si="2">IFERROR(VLOOKUP(C7,Todos,2,FALSE),"")</f>
        <v></v>
      </c>
      <c r="E7" s="42" t="s">
        <v>29</v>
      </c>
      <c r="F7" s="43">
        <v>0</v>
      </c>
      <c r="G7" s="28">
        <f>H6</f>
        <v>45193</v>
      </c>
      <c r="H7" s="28">
        <f t="shared" si="1"/>
        <v>45193</v>
      </c>
      <c r="I7" s="29" t="s">
        <v>30</v>
      </c>
      <c r="J7" s="30"/>
      <c r="K7" s="31"/>
      <c r="L7" s="32"/>
      <c r="M7" s="31"/>
      <c r="N7" s="33"/>
      <c r="O7" s="34" cm="1">
        <f t="array" aca="1" ref="O7" ca="1">IF(K7="SI",IF(N7&lt;&gt;0,(INDIRECT(M7)*N7)/L7,0),0)</f>
        <v>0</v>
      </c>
      <c r="P7" s="34" cm="1">
        <f t="array" aca="1" ref="P7" ca="1">IF(N7&lt;&gt;0,(INDIRECT(M7)*N7)/L7,0)</f>
        <v>0</v>
      </c>
      <c r="Q7" s="38">
        <v>3</v>
      </c>
    </row>
    <row r="8" spans="1:18" hidden="1" outlineLevel="4">
      <c r="A8" s="23">
        <v>0</v>
      </c>
      <c r="B8" s="41" t="s">
        <v>24</v>
      </c>
      <c r="C8" s="41" t="s">
        <v>31</v>
      </c>
      <c r="D8" s="25" t="str">
        <f t="shared" ref="D8:D254" si="3">IFERROR(VLOOKUP(C8,Todos,2,FALSE),"")</f>
        <v></v>
      </c>
      <c r="E8" s="42" t="s">
        <v>32</v>
      </c>
      <c r="F8" s="43">
        <v>0</v>
      </c>
      <c r="G8" s="28">
        <f t="shared" ref="G8:G10" si="4">H7</f>
        <v>45193</v>
      </c>
      <c r="H8" s="28">
        <f t="shared" si="1"/>
        <v>45193</v>
      </c>
      <c r="I8" s="29" t="s">
        <v>33</v>
      </c>
      <c r="J8" s="30"/>
      <c r="K8" s="31"/>
      <c r="L8" s="32"/>
      <c r="M8" s="31"/>
      <c r="N8" s="33"/>
      <c r="O8" s="34" cm="1">
        <f t="array" aca="1" ref="O8" ca="1">IF(K8="SI",IF(N8&lt;&gt;0,(INDIRECT(M8)*N8)/L8,0),0)</f>
        <v>0</v>
      </c>
      <c r="P8" s="34" cm="1">
        <f t="array" aca="1" ref="P8" ca="1">IF(N8&lt;&gt;0,(INDIRECT(M8)*N8)/L8,0)</f>
        <v>0</v>
      </c>
      <c r="Q8" s="38">
        <v>3</v>
      </c>
    </row>
    <row r="9" spans="1:18" hidden="1" outlineLevel="4">
      <c r="A9" s="23">
        <v>0</v>
      </c>
      <c r="B9" s="41" t="s">
        <v>24</v>
      </c>
      <c r="C9" s="41" t="s">
        <v>25</v>
      </c>
      <c r="D9" s="25" t="str">
        <f t="shared" ref="D9:D255" si="5">IFERROR(VLOOKUP(C9,Todos,2,FALSE),"")</f>
        <v></v>
      </c>
      <c r="E9" s="42" t="s">
        <v>34</v>
      </c>
      <c r="F9" s="43">
        <v>0</v>
      </c>
      <c r="G9" s="28">
        <f t="shared" si="4"/>
        <v>45193</v>
      </c>
      <c r="H9" s="28">
        <f t="shared" si="1"/>
        <v>45193</v>
      </c>
      <c r="I9" s="29"/>
      <c r="J9" s="30"/>
      <c r="K9" s="31" t="s">
        <v>27</v>
      </c>
      <c r="L9" s="32">
        <v>6</v>
      </c>
      <c r="M9" s="31" t="s">
        <v>28</v>
      </c>
      <c r="N9" s="33">
        <v>38000</v>
      </c>
      <c r="O9" s="34" t="e" cm="1">
        <f t="array" aca="1" ref="O9" ca="1">IF(K9="SI",IF(N9&lt;&gt;0,(INDIRECT(M9)*N9)/L9,0),0)</f>
        <v>#REF!</v>
      </c>
      <c r="P9" s="34" t="e" cm="1">
        <f t="array" aca="1" ref="P9" ca="1">IF(N9&lt;&gt;0,(INDIRECT(M9)*N9)/L9,0)</f>
        <v>#REF!</v>
      </c>
      <c r="Q9" s="38">
        <v>3</v>
      </c>
    </row>
    <row r="10" spans="1:18" hidden="1" outlineLevel="4">
      <c r="A10" s="23">
        <v>0</v>
      </c>
      <c r="B10" s="41" t="s">
        <v>24</v>
      </c>
      <c r="C10" s="41" t="s">
        <v>35</v>
      </c>
      <c r="D10" s="25" t="str">
        <f t="shared" ref="D10:D256" si="6">IFERROR(VLOOKUP(C10,Todos,2,FALSE),"")</f>
        <v></v>
      </c>
      <c r="E10" s="42"/>
      <c r="F10" s="43">
        <v>0</v>
      </c>
      <c r="G10" s="28">
        <f t="shared" si="4"/>
        <v>45193</v>
      </c>
      <c r="H10" s="28">
        <f t="shared" si="1"/>
        <v>45193</v>
      </c>
      <c r="I10" s="29"/>
      <c r="J10" s="30"/>
      <c r="K10" s="31"/>
      <c r="L10" s="32"/>
      <c r="M10" s="31"/>
      <c r="N10" s="33"/>
      <c r="O10" s="34" cm="1">
        <f t="array" aca="1" ref="O10" ca="1">IF(K10="SI",IF(N10&lt;&gt;0,(INDIRECT(M10)*N10)/L10,0),0)</f>
        <v>0</v>
      </c>
      <c r="P10" s="34" cm="1">
        <f t="array" aca="1" ref="P10" ca="1">IF(N10&lt;&gt;0,(INDIRECT(M10)*N10)/L10,0)</f>
        <v>0</v>
      </c>
      <c r="Q10" s="38">
        <v>3</v>
      </c>
      <c r="R10" s="44"/>
    </row>
    <row r="11" spans="1:18" hidden="1" outlineLevel="3">
      <c r="A11" s="23">
        <v>0</v>
      </c>
      <c r="B11" s="41" t="s">
        <v>15</v>
      </c>
      <c r="C11" s="41" t="s">
        <v>22</v>
      </c>
      <c r="D11" s="25" t="str">
        <f t="shared" ref="D11:D257" si="7">IFERROR(VLOOKUP(C11,Todos,2,FALSE),"")</f>
        <v></v>
      </c>
      <c r="E11" s="39" t="s">
        <v>36</v>
      </c>
      <c r="F11" s="43">
        <f>SUM(F12:F14)</f>
        <v>1395</v>
      </c>
      <c r="G11" s="28">
        <f>H10</f>
        <v>45193</v>
      </c>
      <c r="H11" s="28">
        <f t="shared" si="1"/>
        <v>45193.96875</v>
      </c>
      <c r="I11" s="29" t="str">
        <f>PROPER(TEXT(G11,"dddd"))</f>
        <v>Domingo</v>
      </c>
      <c r="J11" s="30">
        <f>SUM(J12:J14)</f>
        <v>0</v>
      </c>
      <c r="K11" s="31"/>
      <c r="L11" s="32"/>
      <c r="M11" s="31"/>
      <c r="N11" s="33"/>
      <c r="O11" s="34">
        <f>SUM(O12:O14)</f>
        <v>0</v>
      </c>
      <c r="P11" s="34">
        <f>SUM(P12:P14)</f>
        <v>0</v>
      </c>
      <c r="Q11" s="38">
        <f>AVERAGE(Q12:Q14)</f>
        <v>3</v>
      </c>
    </row>
    <row r="12" spans="1:18" hidden="1" outlineLevel="4">
      <c r="A12" s="23">
        <v>0</v>
      </c>
      <c r="B12" s="41" t="s">
        <v>24</v>
      </c>
      <c r="C12" s="41" t="s">
        <v>37</v>
      </c>
      <c r="D12" s="25" t="str">
        <f t="shared" si="7"/>
        <v></v>
      </c>
      <c r="E12" s="42" t="s">
        <v>37</v>
      </c>
      <c r="F12" s="43">
        <v>1080</v>
      </c>
      <c r="G12" s="28">
        <f>H10</f>
        <v>45193</v>
      </c>
      <c r="H12" s="28">
        <f t="shared" si="1"/>
        <v>45193.75</v>
      </c>
      <c r="I12" s="29"/>
      <c r="J12" s="30"/>
      <c r="K12" s="31"/>
      <c r="L12" s="32"/>
      <c r="M12" s="31"/>
      <c r="N12" s="33"/>
      <c r="O12" s="34">
        <v>0</v>
      </c>
      <c r="P12" s="34">
        <v>0</v>
      </c>
      <c r="Q12" s="38">
        <v>3</v>
      </c>
    </row>
    <row r="13" spans="1:18" hidden="1" outlineLevel="4">
      <c r="A13" s="23">
        <v>1</v>
      </c>
      <c r="B13" s="41" t="s">
        <v>38</v>
      </c>
      <c r="C13" s="41" t="s">
        <v>39</v>
      </c>
      <c r="D13" s="25" t="str">
        <f t="shared" si="7"/>
        <v></v>
      </c>
      <c r="E13" s="42" t="s">
        <v>40</v>
      </c>
      <c r="F13" s="43">
        <v>90</v>
      </c>
      <c r="G13" s="28">
        <f>H12</f>
        <v>45193.75</v>
      </c>
      <c r="H13" s="28">
        <f t="shared" si="1"/>
        <v>45193.8125</v>
      </c>
      <c r="I13" s="29" t="s">
        <v>41</v>
      </c>
      <c r="J13" s="30"/>
      <c r="K13" s="31" t="s">
        <v>27</v>
      </c>
      <c r="L13" s="32">
        <v>1</v>
      </c>
      <c r="M13" s="31" t="s">
        <v>28</v>
      </c>
      <c r="N13" s="33">
        <v>0</v>
      </c>
      <c r="O13" s="34">
        <v>0</v>
      </c>
      <c r="P13" s="34">
        <v>0</v>
      </c>
      <c r="Q13" s="38">
        <v>3</v>
      </c>
    </row>
    <row r="14" spans="1:18" hidden="1" outlineLevel="4">
      <c r="A14" s="23">
        <v>0</v>
      </c>
      <c r="B14" s="41" t="s">
        <v>42</v>
      </c>
      <c r="C14" s="41" t="s">
        <v>43</v>
      </c>
      <c r="D14" s="25" t="str">
        <f t="shared" si="7"/>
        <v></v>
      </c>
      <c r="E14" s="42" t="s">
        <v>44</v>
      </c>
      <c r="F14" s="43">
        <v>225</v>
      </c>
      <c r="G14" s="28">
        <f t="shared" ref="G14:G15" si="8">H13</f>
        <v>45193.8125</v>
      </c>
      <c r="H14" s="28">
        <f t="shared" si="1"/>
        <v>45193.96875</v>
      </c>
      <c r="I14" s="29" t="s">
        <v>45</v>
      </c>
      <c r="J14" s="30"/>
      <c r="K14" s="31"/>
      <c r="L14" s="32"/>
      <c r="M14" s="31"/>
      <c r="N14" s="33"/>
      <c r="O14" s="34">
        <v>0</v>
      </c>
      <c r="P14" s="34">
        <v>0</v>
      </c>
      <c r="Q14" s="38">
        <v>3</v>
      </c>
      <c r="R14" s="44"/>
    </row>
    <row r="15" spans="1:18" ht="42" hidden="1" outlineLevel="1">
      <c r="A15" s="23">
        <v>2</v>
      </c>
      <c r="B15" s="41" t="s">
        <v>38</v>
      </c>
      <c r="C15" s="41" t="s">
        <v>46</v>
      </c>
      <c r="D15" s="25" t="str">
        <f t="shared" si="7"/>
        <v></v>
      </c>
      <c r="E15" s="42" t="s">
        <v>47</v>
      </c>
      <c r="F15" s="43">
        <v>980</v>
      </c>
      <c r="G15" s="28">
        <f t="shared" si="8"/>
        <v>45193.96875</v>
      </c>
      <c r="H15" s="28">
        <f t="shared" si="1"/>
        <v>45194.649305555555</v>
      </c>
      <c r="I15" s="29" t="s">
        <v>48</v>
      </c>
      <c r="J15" s="30"/>
      <c r="K15" s="31" t="s">
        <v>27</v>
      </c>
      <c r="L15" s="32">
        <v>1</v>
      </c>
      <c r="M15" s="31" t="s">
        <v>28</v>
      </c>
      <c r="N15" s="33">
        <v>2475210</v>
      </c>
      <c r="O15" s="34">
        <v>440899</v>
      </c>
      <c r="P15" s="34">
        <v>2475210</v>
      </c>
      <c r="Q15" s="38">
        <v>3</v>
      </c>
    </row>
    <row r="16" spans="1:18" hidden="1" outlineLevel="1" collapsed="1">
      <c r="A16" s="23">
        <v>0</v>
      </c>
      <c r="B16" s="41" t="s">
        <v>15</v>
      </c>
      <c r="C16" s="41" t="s">
        <v>18</v>
      </c>
      <c r="D16" s="25" t="str">
        <f t="shared" si="7"/>
        <v></v>
      </c>
      <c r="E16" s="45" t="s">
        <v>49</v>
      </c>
      <c r="F16" s="43">
        <f>F17</f>
        <v>5470</v>
      </c>
      <c r="G16" s="28">
        <f>H15</f>
        <v>45194.649305555555</v>
      </c>
      <c r="H16" s="28">
        <f t="shared" si="1"/>
        <v>45198.447916666664</v>
      </c>
      <c r="I16" s="29" t="str">
        <f>PROPER(TEXT(G16,"dddd")) &amp; " - Días Totales: " &amp; ROUND(F16/1440,0)</f>
        <v>Lunes - Días Totales: 4</v>
      </c>
      <c r="J16" s="30">
        <f>J17</f>
        <v>37.5</v>
      </c>
      <c r="K16" s="31"/>
      <c r="L16" s="32"/>
      <c r="M16" s="31"/>
      <c r="N16" s="46"/>
      <c r="O16" s="34" t="e">
        <f ca="1">O17</f>
        <v>#REF!</v>
      </c>
      <c r="P16" s="34" t="e">
        <f ca="1">P17</f>
        <v>#REF!</v>
      </c>
      <c r="Q16" s="38">
        <f>AVERAGE(Q17)</f>
        <v>3</v>
      </c>
    </row>
    <row r="17" spans="1:18" hidden="1" outlineLevel="2">
      <c r="A17" s="23">
        <v>0</v>
      </c>
      <c r="B17" s="41" t="s">
        <v>15</v>
      </c>
      <c r="C17" s="41" t="s">
        <v>20</v>
      </c>
      <c r="D17" s="25" t="str">
        <f t="shared" si="7"/>
        <v></v>
      </c>
      <c r="E17" s="42" t="s">
        <v>50</v>
      </c>
      <c r="F17" s="43">
        <f>F18+F52+F79+F29+F103</f>
        <v>5470</v>
      </c>
      <c r="G17" s="28">
        <f>H15</f>
        <v>45194.649305555555</v>
      </c>
      <c r="H17" s="28">
        <f t="shared" si="1"/>
        <v>45198.447916666664</v>
      </c>
      <c r="I17" s="29" t="str">
        <f>PROPER(TEXT(G17,"dddd")) &amp; " - Días Totales: " &amp; ROUND(F17/1440,0)</f>
        <v>Lunes - Días Totales: 4</v>
      </c>
      <c r="J17" s="30">
        <f>J18+J29+J52+J79+J103</f>
        <v>37.5</v>
      </c>
      <c r="K17" s="31"/>
      <c r="L17" s="32"/>
      <c r="M17" s="31"/>
      <c r="N17" s="33"/>
      <c r="O17" s="34" t="e">
        <f ca="1">O18+O29+O52+O79+O103</f>
        <v>#REF!</v>
      </c>
      <c r="P17" s="34" t="e">
        <f ca="1">P18+P29+P52+P79+P103</f>
        <v>#REF!</v>
      </c>
      <c r="Q17" s="47">
        <f>AVERAGE(Q18,Q29,Q52,Q79,Q103)</f>
        <v>3</v>
      </c>
    </row>
    <row r="18" spans="1:18" hidden="1" outlineLevel="3">
      <c r="A18" s="23">
        <v>0</v>
      </c>
      <c r="B18" s="24" t="s">
        <v>15</v>
      </c>
      <c r="C18" s="24" t="s">
        <v>22</v>
      </c>
      <c r="D18" s="36" t="str">
        <f t="shared" si="7"/>
        <v></v>
      </c>
      <c r="E18" s="39" t="s">
        <v>51</v>
      </c>
      <c r="F18" s="23">
        <f>SUM(F19:F28)</f>
        <v>505</v>
      </c>
      <c r="G18" s="27">
        <f>H15</f>
        <v>45194.649305555555</v>
      </c>
      <c r="H18" s="28">
        <f t="shared" si="1"/>
        <v>45195</v>
      </c>
      <c r="I18" s="29" t="str">
        <f>PROPER(TEXT(G18,"dddd"))</f>
        <v>Lunes</v>
      </c>
      <c r="J18" s="30">
        <f>SUM(J19:J28)</f>
        <v>0.8</v>
      </c>
      <c r="K18" s="31"/>
      <c r="L18" s="32"/>
      <c r="M18" s="31"/>
      <c r="N18" s="48"/>
      <c r="O18" s="49" t="e">
        <f ca="1">SUM(O19:O28)</f>
        <v>#REF!</v>
      </c>
      <c r="P18" s="49" t="e">
        <f ca="1">SUM(P19:P28)</f>
        <v>#REF!</v>
      </c>
      <c r="Q18" s="38">
        <f>AVERAGE(Q19:Q28)</f>
        <v>3</v>
      </c>
    </row>
    <row r="19" spans="1:18" hidden="1" outlineLevel="4">
      <c r="A19" s="43">
        <v>0</v>
      </c>
      <c r="B19" s="41" t="s">
        <v>42</v>
      </c>
      <c r="C19" s="41" t="s">
        <v>52</v>
      </c>
      <c r="D19" s="25" t="str">
        <f t="shared" si="7"/>
        <v></v>
      </c>
      <c r="E19" s="42" t="s">
        <v>52</v>
      </c>
      <c r="F19" s="43">
        <v>60</v>
      </c>
      <c r="G19" s="28">
        <f>H15</f>
        <v>45194.649305555555</v>
      </c>
      <c r="H19" s="28">
        <f t="shared" si="1"/>
        <v>45194.690972222219</v>
      </c>
      <c r="I19" s="29"/>
      <c r="J19" s="30"/>
      <c r="K19" s="31"/>
      <c r="L19" s="32"/>
      <c r="M19" s="31"/>
      <c r="N19" s="50"/>
      <c r="O19" s="51" cm="1">
        <f t="array" aca="1" ref="O19" ca="1">IF(K19="SI",IF(N19&lt;&gt;0,(INDIRECT(M19)*N19)/L19,0),0)</f>
        <v>0</v>
      </c>
      <c r="P19" s="51" cm="1">
        <f t="array" aca="1" ref="P19" ca="1">IF(N19&lt;&gt;0,(INDIRECT(M19)*N19)/L19,0)</f>
        <v>0</v>
      </c>
      <c r="Q19" s="38">
        <v>3</v>
      </c>
    </row>
    <row r="20" spans="1:18" hidden="1" outlineLevel="4">
      <c r="A20" s="43">
        <v>0</v>
      </c>
      <c r="B20" s="41" t="s">
        <v>24</v>
      </c>
      <c r="C20" s="41" t="s">
        <v>25</v>
      </c>
      <c r="D20" s="25" t="str">
        <f t="shared" ref="D20:D266" si="9">IFERROR(VLOOKUP(C20,Todos,2,FALSE),"")</f>
        <v></v>
      </c>
      <c r="E20" s="42" t="s">
        <v>53</v>
      </c>
      <c r="F20" s="43">
        <v>0</v>
      </c>
      <c r="G20" s="28">
        <f>H19</f>
        <v>45194.690972222219</v>
      </c>
      <c r="H20" s="28">
        <f t="shared" si="1"/>
        <v>45194.690972222219</v>
      </c>
      <c r="I20" s="29" t="s">
        <v>54</v>
      </c>
      <c r="J20" s="30"/>
      <c r="K20" s="31"/>
      <c r="L20" s="32"/>
      <c r="M20" s="31"/>
      <c r="N20" s="50"/>
      <c r="O20" s="51" cm="1">
        <f t="array" aca="1" ref="O20" ca="1">IF(K20="SI",IF(N20&lt;&gt;0,(INDIRECT(M20)*N20)/L20,0),0)</f>
        <v>0</v>
      </c>
      <c r="P20" s="51" cm="1">
        <f t="array" aca="1" ref="P20" ca="1">IF(N20&lt;&gt;0,(INDIRECT(M20)*N20)/L20,0)</f>
        <v>0</v>
      </c>
      <c r="Q20" s="38">
        <v>3</v>
      </c>
    </row>
    <row r="21" spans="1:18" ht="31.5" hidden="1" outlineLevel="4">
      <c r="A21" s="43">
        <v>0</v>
      </c>
      <c r="B21" s="41" t="s">
        <v>38</v>
      </c>
      <c r="C21" s="41" t="s">
        <v>55</v>
      </c>
      <c r="D21" s="25" t="str">
        <f t="shared" ref="D21:D267" si="10">IFERROR(VLOOKUP(C21,Todos,2,FALSE),"")</f>
        <v></v>
      </c>
      <c r="E21" s="42" t="s">
        <v>56</v>
      </c>
      <c r="F21" s="43">
        <v>90</v>
      </c>
      <c r="G21" s="28">
        <f t="shared" ref="G21:G28" si="11">H20</f>
        <v>45194.690972222219</v>
      </c>
      <c r="H21" s="28">
        <f t="shared" si="1"/>
        <v>45194.753472222219</v>
      </c>
      <c r="I21" s="29" t="s">
        <v>57</v>
      </c>
      <c r="J21" s="30"/>
      <c r="K21" s="31" t="s">
        <v>58</v>
      </c>
      <c r="L21" s="32">
        <v>1</v>
      </c>
      <c r="M21" s="31" t="s">
        <v>59</v>
      </c>
      <c r="N21" s="50">
        <v>5.6</v>
      </c>
      <c r="O21" s="51" cm="1">
        <f t="array" aca="1" ref="O21" ca="1">IF(K21="SI",IF(N21&lt;&gt;0,(INDIRECT(M21)*N21)/L21,0),0)</f>
        <v>0</v>
      </c>
      <c r="P21" s="51" t="e" cm="1">
        <f t="array" aca="1" ref="P21" ca="1">IF(N21&lt;&gt;0,(INDIRECT(M21)*N21)/L21,0)</f>
        <v>#REF!</v>
      </c>
      <c r="Q21" s="38">
        <v>3</v>
      </c>
    </row>
    <row r="22" spans="1:18" hidden="1" outlineLevel="4">
      <c r="A22" s="43">
        <v>0</v>
      </c>
      <c r="B22" s="41" t="s">
        <v>38</v>
      </c>
      <c r="C22" s="41" t="s">
        <v>60</v>
      </c>
      <c r="D22" s="25" t="str">
        <f>IFERROR(VLOOKUP(C22,Todos,2,FALSE),"")</f>
        <v></v>
      </c>
      <c r="E22" s="42" t="s">
        <v>61</v>
      </c>
      <c r="F22" s="43">
        <v>15</v>
      </c>
      <c r="G22" s="28">
        <f t="shared" si="11"/>
        <v>45194.753472222219</v>
      </c>
      <c r="H22" s="28">
        <f t="shared" si="1"/>
        <v>45194.763888888883</v>
      </c>
      <c r="I22" s="29"/>
      <c r="J22" s="30">
        <v>0.8</v>
      </c>
      <c r="K22" s="31"/>
      <c r="L22" s="32"/>
      <c r="M22" s="31"/>
      <c r="N22" s="50"/>
      <c r="O22" s="51" cm="1">
        <f t="array" aca="1" ref="O22" ca="1">IF(K22="SI",IF(N22&lt;&gt;0,(INDIRECT(M22)*N22)/L22,0),0)</f>
        <v>0</v>
      </c>
      <c r="P22" s="51" cm="1">
        <f t="array" aca="1" ref="P22" ca="1">IF(N22&lt;&gt;0,(INDIRECT(M22)*N22)/L22,0)</f>
        <v>0</v>
      </c>
      <c r="Q22" s="38">
        <v>3</v>
      </c>
    </row>
    <row r="23" spans="1:18" ht="31.5" hidden="1" outlineLevel="4">
      <c r="A23" s="43">
        <v>0</v>
      </c>
      <c r="B23" s="41" t="s">
        <v>62</v>
      </c>
      <c r="C23" s="41" t="s">
        <v>63</v>
      </c>
      <c r="D23" s="25" t="str">
        <f t="shared" ref="D23:D32" si="12">IFERROR(VLOOKUP(C23,Todos,2,FALSE),"")</f>
        <v></v>
      </c>
      <c r="E23" s="42" t="s">
        <v>64</v>
      </c>
      <c r="F23" s="43">
        <v>20</v>
      </c>
      <c r="G23" s="28">
        <f t="shared" si="11"/>
        <v>45194.763888888883</v>
      </c>
      <c r="H23" s="28">
        <f t="shared" si="1"/>
        <v>45194.777777777774</v>
      </c>
      <c r="I23" s="52" t="s">
        <v>65</v>
      </c>
      <c r="J23" s="30"/>
      <c r="K23" s="31" t="s">
        <v>27</v>
      </c>
      <c r="L23" s="32">
        <v>2</v>
      </c>
      <c r="M23" s="31" t="s">
        <v>28</v>
      </c>
      <c r="N23" s="50">
        <v>2914848</v>
      </c>
      <c r="O23" s="51" t="e" cm="1">
        <f t="array" aca="1" ref="O23" ca="1">IF(K23="SI",IF(N23&lt;&gt;0,(INDIRECT(M23)*N23)/L23,0),0)</f>
        <v>#REF!</v>
      </c>
      <c r="P23" s="51" t="e" cm="1">
        <f t="array" aca="1" ref="P23" ca="1">IF(N23&lt;&gt;0,(INDIRECT(M23)*N23)/L23,0)</f>
        <v>#REF!</v>
      </c>
      <c r="Q23" s="38">
        <v>3</v>
      </c>
      <c r="R23" s="53"/>
    </row>
    <row r="24" spans="1:18" hidden="1" outlineLevel="4">
      <c r="A24" s="43">
        <v>0</v>
      </c>
      <c r="B24" s="41" t="s">
        <v>24</v>
      </c>
      <c r="C24" s="41" t="s">
        <v>37</v>
      </c>
      <c r="D24" s="25" t="str">
        <f t="shared" ref="D24:D33" si="13">IFERROR(VLOOKUP(C24,Todos,2,FALSE),"")</f>
        <v></v>
      </c>
      <c r="E24" s="42" t="s">
        <v>37</v>
      </c>
      <c r="F24" s="43">
        <v>50</v>
      </c>
      <c r="G24" s="28">
        <f t="shared" si="11"/>
        <v>45194.777777777774</v>
      </c>
      <c r="H24" s="28">
        <f t="shared" si="1"/>
        <v>45194.812499999993</v>
      </c>
      <c r="I24" s="29"/>
      <c r="J24" s="30"/>
      <c r="K24" s="31"/>
      <c r="L24" s="32"/>
      <c r="M24" s="31"/>
      <c r="N24" s="50"/>
      <c r="O24" s="51" cm="1">
        <f t="array" aca="1" ref="O24" ca="1">IF(K24="SI",IF(N24&lt;&gt;0,(INDIRECT(M24)*N24)/L24,0),0)</f>
        <v>0</v>
      </c>
      <c r="P24" s="51" cm="1">
        <f t="array" aca="1" ref="P24" ca="1">IF(N24&lt;&gt;0,(INDIRECT(M24)*N24)/L24,0)</f>
        <v>0</v>
      </c>
      <c r="Q24" s="38">
        <v>3</v>
      </c>
      <c r="R24" s="53"/>
    </row>
    <row r="25" spans="1:18" hidden="1" outlineLevel="4">
      <c r="A25" s="43">
        <v>0</v>
      </c>
      <c r="B25" s="41" t="s">
        <v>24</v>
      </c>
      <c r="C25" s="41" t="s">
        <v>31</v>
      </c>
      <c r="D25" s="25" t="str">
        <f>IFERROR(VLOOKUP(C25,Todos,2,FALSE),"")</f>
        <v></v>
      </c>
      <c r="E25" s="42" t="s">
        <v>66</v>
      </c>
      <c r="F25" s="43">
        <v>0</v>
      </c>
      <c r="G25" s="28">
        <f t="shared" si="11"/>
        <v>45194.812499999993</v>
      </c>
      <c r="H25" s="28">
        <f t="shared" si="1"/>
        <v>45194.812499999993</v>
      </c>
      <c r="I25" s="29" t="s">
        <v>67</v>
      </c>
      <c r="J25" s="30"/>
      <c r="K25" s="31"/>
      <c r="L25" s="32"/>
      <c r="M25" s="31"/>
      <c r="N25" s="50"/>
      <c r="O25" s="51" cm="1">
        <f t="array" aca="1" ref="O25" ca="1">IF(K25="SI",IF(N25&lt;&gt;0,(INDIRECT(M25)*N25)/L25,0),0)</f>
        <v>0</v>
      </c>
      <c r="P25" s="51" cm="1">
        <f t="array" aca="1" ref="P25" ca="1">IF(N25&lt;&gt;0,(INDIRECT(M25)*N25)/L25,0)</f>
        <v>0</v>
      </c>
      <c r="Q25" s="38">
        <v>3</v>
      </c>
    </row>
    <row r="26" spans="1:18" ht="31.5" hidden="1" outlineLevel="4">
      <c r="A26" s="43">
        <v>0</v>
      </c>
      <c r="B26" s="41" t="s">
        <v>24</v>
      </c>
      <c r="C26" s="41" t="s">
        <v>68</v>
      </c>
      <c r="D26" s="25" t="str">
        <f>IFERROR(VLOOKUP(C26,Todos,2,FALSE),"")</f>
        <v></v>
      </c>
      <c r="E26" s="42" t="s">
        <v>69</v>
      </c>
      <c r="F26" s="43">
        <v>60</v>
      </c>
      <c r="G26" s="28">
        <f t="shared" si="11"/>
        <v>45194.812499999993</v>
      </c>
      <c r="H26" s="28">
        <f t="shared" si="1"/>
        <v>45194.854166666657</v>
      </c>
      <c r="I26" s="29" t="s">
        <v>70</v>
      </c>
      <c r="J26" s="30"/>
      <c r="K26" s="31" t="s">
        <v>58</v>
      </c>
      <c r="L26" s="32">
        <v>1</v>
      </c>
      <c r="M26" s="31" t="s">
        <v>59</v>
      </c>
      <c r="N26" s="33">
        <v>20</v>
      </c>
      <c r="O26" s="51" cm="1">
        <f t="array" aca="1" ref="O26" ca="1">IF(K26="SI",IF(N26&lt;&gt;0,(INDIRECT(M26)*N26)/L26,0),0)</f>
        <v>0</v>
      </c>
      <c r="P26" s="51" t="e" cm="1">
        <f t="array" aca="1" ref="P26" ca="1">IF(N26&lt;&gt;0,(INDIRECT(M26)*N26)/L26,0)</f>
        <v>#REF!</v>
      </c>
      <c r="Q26" s="38">
        <v>3</v>
      </c>
    </row>
    <row r="27" spans="1:18" hidden="1" outlineLevel="4">
      <c r="A27" s="43">
        <v>0</v>
      </c>
      <c r="B27" s="41" t="s">
        <v>71</v>
      </c>
      <c r="C27" s="41" t="s">
        <v>72</v>
      </c>
      <c r="D27" s="25" t="str">
        <f t="shared" ref="D27:D37" si="14">IFERROR(VLOOKUP(C27,Todos,2,FALSE),"")</f>
        <v></v>
      </c>
      <c r="E27" s="42" t="s">
        <v>72</v>
      </c>
      <c r="F27" s="43">
        <v>60</v>
      </c>
      <c r="G27" s="28">
        <f t="shared" si="11"/>
        <v>45194.854166666657</v>
      </c>
      <c r="H27" s="28">
        <f t="shared" si="1"/>
        <v>45194.895833333321</v>
      </c>
      <c r="I27" s="29" t="s">
        <v>73</v>
      </c>
      <c r="J27" s="30"/>
      <c r="K27" s="31" t="s">
        <v>27</v>
      </c>
      <c r="L27" s="32">
        <v>1</v>
      </c>
      <c r="M27" s="31" t="s">
        <v>59</v>
      </c>
      <c r="N27" s="33">
        <v>0</v>
      </c>
      <c r="O27" s="51" cm="1">
        <f t="array" aca="1" ref="O27" ca="1">IF(K27="SI",IF(N27&lt;&gt;0,(INDIRECT(M27)*N27)/L27,0),0)</f>
        <v>0</v>
      </c>
      <c r="P27" s="51" cm="1">
        <f t="array" aca="1" ref="P27" ca="1">IF(N27&lt;&gt;0,(INDIRECT(M27)*N27)/L27,0)</f>
        <v>0</v>
      </c>
      <c r="Q27" s="38">
        <v>3</v>
      </c>
    </row>
    <row r="28" spans="1:18" hidden="1" outlineLevel="4">
      <c r="A28" s="43">
        <v>0</v>
      </c>
      <c r="B28" s="41" t="s">
        <v>24</v>
      </c>
      <c r="C28" s="41" t="s">
        <v>37</v>
      </c>
      <c r="D28" s="25" t="str">
        <f t="shared" ref="D28:D38" si="15">IFERROR(VLOOKUP(C28,Todos,2,FALSE),"")</f>
        <v></v>
      </c>
      <c r="E28" s="42" t="s">
        <v>37</v>
      </c>
      <c r="F28" s="43">
        <v>150</v>
      </c>
      <c r="G28" s="28">
        <f t="shared" si="11"/>
        <v>45194.895833333321</v>
      </c>
      <c r="H28" s="28">
        <f t="shared" si="1"/>
        <v>45194.999999999985</v>
      </c>
      <c r="I28" s="29"/>
      <c r="J28" s="30"/>
      <c r="K28" s="31"/>
      <c r="L28" s="32"/>
      <c r="M28" s="31"/>
      <c r="N28" s="50"/>
      <c r="O28" s="51" cm="1">
        <f t="array" aca="1" ref="O28" ca="1">IF(K28="SI",IF(N28&lt;&gt;0,(INDIRECT(M28)*N28)/L28,0),0)</f>
        <v>0</v>
      </c>
      <c r="P28" s="51" cm="1">
        <f t="array" aca="1" ref="P28" ca="1">IF(N28&lt;&gt;0,(INDIRECT(M28)*N28)/L28,0)</f>
        <v>0</v>
      </c>
      <c r="Q28" s="38">
        <v>3</v>
      </c>
    </row>
    <row r="29" spans="1:18" hidden="1" outlineLevel="3">
      <c r="A29" s="23">
        <v>0</v>
      </c>
      <c r="B29" s="41" t="s">
        <v>15</v>
      </c>
      <c r="C29" s="41" t="s">
        <v>22</v>
      </c>
      <c r="D29" s="25" t="str">
        <f t="shared" ref="D29:D39" si="16">IFERROR(VLOOKUP(C29,Todos,2,FALSE),"")</f>
        <v></v>
      </c>
      <c r="E29" s="39" t="s">
        <v>74</v>
      </c>
      <c r="F29" s="43">
        <f>SUM(F30:F51)</f>
        <v>1440</v>
      </c>
      <c r="G29" s="28">
        <f>H28</f>
        <v>45194.999999999985</v>
      </c>
      <c r="H29" s="28">
        <f>G29+(F29/24)/60</f>
        <v>45195.999999999985</v>
      </c>
      <c r="I29" s="29" t="str">
        <f>PROPER(TEXT(G29,"dddd"))</f>
        <v>Martes</v>
      </c>
      <c r="J29" s="30">
        <f>SUM(J30:J51)</f>
        <v>11.8</v>
      </c>
      <c r="K29" s="31"/>
      <c r="L29" s="32"/>
      <c r="M29" s="31"/>
      <c r="N29" s="48"/>
      <c r="O29" s="49">
        <f ca="1">SUM(O30:O51)</f>
        <v>0</v>
      </c>
      <c r="P29" s="49" t="e">
        <f ca="1">SUM(P30:P51)</f>
        <v>#REF!</v>
      </c>
      <c r="Q29" s="38">
        <f>AVERAGE(Q30:Q51)</f>
        <v>3</v>
      </c>
    </row>
    <row r="30" spans="1:18" hidden="1" outlineLevel="4">
      <c r="A30" s="43">
        <v>0</v>
      </c>
      <c r="B30" s="41" t="s">
        <v>24</v>
      </c>
      <c r="C30" s="41" t="s">
        <v>37</v>
      </c>
      <c r="D30" s="25" t="str">
        <f t="shared" si="16"/>
        <v></v>
      </c>
      <c r="E30" s="42" t="s">
        <v>37</v>
      </c>
      <c r="F30" s="43">
        <v>420</v>
      </c>
      <c r="G30" s="28">
        <f>H28</f>
        <v>45194.999999999985</v>
      </c>
      <c r="H30" s="28">
        <f>G30+(F30/24)/60</f>
        <v>45195.29166666665</v>
      </c>
      <c r="I30" s="29"/>
      <c r="J30" s="30"/>
      <c r="K30" s="31"/>
      <c r="L30" s="32"/>
      <c r="M30" s="31"/>
      <c r="N30" s="33"/>
      <c r="O30" s="51" cm="1">
        <f t="array" aca="1" ref="O30" ca="1">IF(K30="SI",IF(N30&lt;&gt;0,(INDIRECT(M30)*N30)/L30,0),0)</f>
        <v>0</v>
      </c>
      <c r="P30" s="51" cm="1">
        <f t="array" aca="1" ref="P30" ca="1">IF(N30&lt;&gt;0,(INDIRECT(M30)*N30)/L30,0)</f>
        <v>0</v>
      </c>
      <c r="Q30" s="38">
        <v>3</v>
      </c>
    </row>
    <row r="31" spans="1:18" hidden="1" outlineLevel="4">
      <c r="A31" s="43">
        <v>0</v>
      </c>
      <c r="B31" s="41" t="s">
        <v>71</v>
      </c>
      <c r="C31" s="41" t="s">
        <v>75</v>
      </c>
      <c r="D31" s="25" t="str">
        <f t="shared" ref="D31:D41" si="17">IFERROR(VLOOKUP(C31,Todos,2,FALSE),"")</f>
        <v></v>
      </c>
      <c r="E31" s="42" t="s">
        <v>75</v>
      </c>
      <c r="F31" s="43">
        <v>60</v>
      </c>
      <c r="G31" s="28">
        <f>H30</f>
        <v>45195.29166666665</v>
      </c>
      <c r="H31" s="28">
        <f>G31+(F31/24)/60</f>
        <v>45195.333333333314</v>
      </c>
      <c r="I31" s="29" t="s">
        <v>76</v>
      </c>
      <c r="J31" s="30"/>
      <c r="K31" s="31" t="s">
        <v>27</v>
      </c>
      <c r="L31" s="32">
        <v>1</v>
      </c>
      <c r="M31" s="31" t="s">
        <v>59</v>
      </c>
      <c r="N31" s="33">
        <v>0</v>
      </c>
      <c r="O31" s="51" cm="1">
        <f t="array" aca="1" ref="O31" ca="1">IF(K31="SI",IF(N31&lt;&gt;0,(INDIRECT(M31)*N31)/L31,0),0)</f>
        <v>0</v>
      </c>
      <c r="P31" s="51" cm="1">
        <f t="array" aca="1" ref="P31" ca="1">IF(N31&lt;&gt;0,(INDIRECT(M31)*N31)/L31,0)</f>
        <v>0</v>
      </c>
      <c r="Q31" s="38">
        <v>3</v>
      </c>
    </row>
    <row r="32" spans="1:18" ht="21" hidden="1" outlineLevel="4">
      <c r="A32" s="43">
        <v>0</v>
      </c>
      <c r="B32" s="41" t="s">
        <v>38</v>
      </c>
      <c r="C32" s="41" t="s">
        <v>77</v>
      </c>
      <c r="D32" s="25" t="str">
        <f t="shared" ref="D32:D42" si="18">IFERROR(VLOOKUP(C32,Todos,2,FALSE),"")</f>
        <v></v>
      </c>
      <c r="E32" s="42" t="s">
        <v>78</v>
      </c>
      <c r="F32" s="43">
        <v>90</v>
      </c>
      <c r="G32" s="28">
        <f t="shared" ref="G32:G51" si="19">H31</f>
        <v>45195.333333333314</v>
      </c>
      <c r="H32" s="28">
        <f t="shared" ref="H32:H95" si="20">G32+(F32/24)/60</f>
        <v>45195.395833333314</v>
      </c>
      <c r="I32" s="29" t="s">
        <v>79</v>
      </c>
      <c r="J32" s="30">
        <v>0.5</v>
      </c>
      <c r="K32" s="31" t="s">
        <v>58</v>
      </c>
      <c r="L32" s="32">
        <v>1</v>
      </c>
      <c r="M32" s="31" t="s">
        <v>59</v>
      </c>
      <c r="N32" s="33">
        <v>1.75</v>
      </c>
      <c r="O32" s="51" cm="1">
        <f t="array" aca="1" ref="O32" ca="1">IF(K32="SI",IF(N32&lt;&gt;0,(INDIRECT(M32)*N32)/L32,0),0)</f>
        <v>0</v>
      </c>
      <c r="P32" s="51" t="e" cm="1">
        <f t="array" aca="1" ref="P32" ca="1">IF(N32&lt;&gt;0,(INDIRECT(M32)*N32)/L32,0)</f>
        <v>#REF!</v>
      </c>
      <c r="Q32" s="38">
        <v>3</v>
      </c>
    </row>
    <row r="33" spans="1:17" hidden="1" outlineLevel="4">
      <c r="A33" s="43">
        <v>0</v>
      </c>
      <c r="B33" s="41" t="s">
        <v>62</v>
      </c>
      <c r="C33" s="41" t="s">
        <v>80</v>
      </c>
      <c r="D33" s="25" t="str">
        <f t="shared" ref="D33:D43" si="21">IFERROR(VLOOKUP(C33,Todos,2,FALSE),"")</f>
        <v></v>
      </c>
      <c r="E33" s="42" t="s">
        <v>81</v>
      </c>
      <c r="F33" s="43">
        <v>30</v>
      </c>
      <c r="G33" s="28">
        <f t="shared" si="19"/>
        <v>45195.395833333314</v>
      </c>
      <c r="H33" s="28">
        <f t="shared" si="20"/>
        <v>45195.41666666665</v>
      </c>
      <c r="I33" s="29" t="s">
        <v>82</v>
      </c>
      <c r="J33" s="30"/>
      <c r="K33" s="31" t="s">
        <v>27</v>
      </c>
      <c r="L33" s="32">
        <v>1</v>
      </c>
      <c r="M33" s="31" t="s">
        <v>59</v>
      </c>
      <c r="N33" s="33">
        <v>0</v>
      </c>
      <c r="O33" s="51" cm="1">
        <f t="array" aca="1" ref="O33" ca="1">IF(K33="SI",IF(N33&lt;&gt;0,(INDIRECT(M33)*N33)/L33,0),0)</f>
        <v>0</v>
      </c>
      <c r="P33" s="51" cm="1">
        <f t="array" aca="1" ref="P33" ca="1">IF(N33&lt;&gt;0,(INDIRECT(M33)*N33)/L33,0)</f>
        <v>0</v>
      </c>
      <c r="Q33" s="38">
        <v>3</v>
      </c>
    </row>
    <row r="34" spans="1:17" ht="42" hidden="1" outlineLevel="4">
      <c r="A34" s="43">
        <v>0</v>
      </c>
      <c r="B34" s="41" t="s">
        <v>24</v>
      </c>
      <c r="C34" s="41" t="s">
        <v>83</v>
      </c>
      <c r="D34" s="25" t="str">
        <f t="shared" ref="D34:D44" si="22">IFERROR(VLOOKUP(C34,Todos,2,FALSE),"")</f>
        <v></v>
      </c>
      <c r="E34" s="42" t="s">
        <v>84</v>
      </c>
      <c r="F34" s="43">
        <v>180</v>
      </c>
      <c r="G34" s="28">
        <f t="shared" si="19"/>
        <v>45195.41666666665</v>
      </c>
      <c r="H34" s="28">
        <f t="shared" si="20"/>
        <v>45195.54166666665</v>
      </c>
      <c r="I34" s="29" t="s">
        <v>85</v>
      </c>
      <c r="J34" s="30">
        <v>5</v>
      </c>
      <c r="K34" s="31" t="s">
        <v>58</v>
      </c>
      <c r="L34" s="32">
        <v>1</v>
      </c>
      <c r="M34" s="31" t="s">
        <v>59</v>
      </c>
      <c r="N34" s="33">
        <v>5</v>
      </c>
      <c r="O34" s="51" cm="1">
        <f t="array" aca="1" ref="O34" ca="1">IF(K34="SI",IF(N34&lt;&gt;0,(INDIRECT(M34)*N34)/L34,0),0)</f>
        <v>0</v>
      </c>
      <c r="P34" s="51" t="e" cm="1">
        <f t="array" aca="1" ref="P34" ca="1">IF(N34&lt;&gt;0,(INDIRECT(M34)*N34)/L34,0)</f>
        <v>#REF!</v>
      </c>
      <c r="Q34" s="38">
        <v>3</v>
      </c>
    </row>
    <row r="35" spans="1:17" hidden="1" outlineLevel="4">
      <c r="A35" s="43">
        <v>0</v>
      </c>
      <c r="B35" s="41" t="s">
        <v>62</v>
      </c>
      <c r="C35" s="41" t="s">
        <v>86</v>
      </c>
      <c r="D35" s="25" t="str">
        <f t="shared" ref="D35:D45" si="23">IFERROR(VLOOKUP(C35,Todos,2,FALSE),"")</f>
        <v></v>
      </c>
      <c r="E35" s="42" t="s">
        <v>87</v>
      </c>
      <c r="F35" s="43">
        <v>0</v>
      </c>
      <c r="G35" s="28">
        <f t="shared" si="19"/>
        <v>45195.54166666665</v>
      </c>
      <c r="H35" s="28">
        <f t="shared" si="20"/>
        <v>45195.54166666665</v>
      </c>
      <c r="I35" s="29" t="s">
        <v>88</v>
      </c>
      <c r="J35" s="30"/>
      <c r="K35" s="31" t="s">
        <v>27</v>
      </c>
      <c r="L35" s="32">
        <v>1</v>
      </c>
      <c r="M35" s="31" t="s">
        <v>59</v>
      </c>
      <c r="N35" s="33">
        <v>0</v>
      </c>
      <c r="O35" s="51" cm="1">
        <f t="array" aca="1" ref="O35" ca="1">IF(K35="SI",IF(N35&lt;&gt;0,(INDIRECT(M35)*N35)/L35,0),0)</f>
        <v>0</v>
      </c>
      <c r="P35" s="51" cm="1">
        <f t="array" aca="1" ref="P35" ca="1">IF(N35&lt;&gt;0,(INDIRECT(M35)*N35)/L35,0)</f>
        <v>0</v>
      </c>
      <c r="Q35" s="38">
        <v>3</v>
      </c>
    </row>
    <row r="36" spans="1:17" hidden="1" outlineLevel="4">
      <c r="A36" s="43">
        <v>0</v>
      </c>
      <c r="B36" s="41" t="s">
        <v>62</v>
      </c>
      <c r="C36" s="41" t="s">
        <v>89</v>
      </c>
      <c r="D36" s="25" t="str">
        <f t="shared" ref="D36:D46" si="24">IFERROR(VLOOKUP(C36,Todos,2,FALSE),"")</f>
        <v></v>
      </c>
      <c r="E36" s="42" t="s">
        <v>90</v>
      </c>
      <c r="F36" s="43">
        <v>0</v>
      </c>
      <c r="G36" s="28">
        <f t="shared" si="19"/>
        <v>45195.54166666665</v>
      </c>
      <c r="H36" s="28">
        <f t="shared" si="20"/>
        <v>45195.54166666665</v>
      </c>
      <c r="I36" s="29" t="s">
        <v>88</v>
      </c>
      <c r="J36" s="30"/>
      <c r="K36" s="31" t="s">
        <v>27</v>
      </c>
      <c r="L36" s="32">
        <v>1</v>
      </c>
      <c r="M36" s="31" t="s">
        <v>59</v>
      </c>
      <c r="N36" s="33">
        <v>0</v>
      </c>
      <c r="O36" s="51" cm="1">
        <f t="array" aca="1" ref="O36" ca="1">IF(K36="SI",IF(N36&lt;&gt;0,(INDIRECT(M36)*N36)/L36,0),0)</f>
        <v>0</v>
      </c>
      <c r="P36" s="51" cm="1">
        <f t="array" aca="1" ref="P36" ca="1">IF(N36&lt;&gt;0,(INDIRECT(M36)*N36)/L36,0)</f>
        <v>0</v>
      </c>
      <c r="Q36" s="38">
        <v>3</v>
      </c>
    </row>
    <row r="37" spans="1:17" hidden="1" outlineLevel="4">
      <c r="A37" s="43">
        <v>0</v>
      </c>
      <c r="B37" s="41" t="s">
        <v>62</v>
      </c>
      <c r="C37" s="41" t="s">
        <v>89</v>
      </c>
      <c r="D37" s="25" t="str">
        <f t="shared" ref="D37:D47" si="25">IFERROR(VLOOKUP(C37,Todos,2,FALSE),"")</f>
        <v></v>
      </c>
      <c r="E37" s="42" t="s">
        <v>91</v>
      </c>
      <c r="F37" s="43">
        <v>0</v>
      </c>
      <c r="G37" s="28">
        <f t="shared" si="19"/>
        <v>45195.54166666665</v>
      </c>
      <c r="H37" s="28">
        <f t="shared" si="20"/>
        <v>45195.54166666665</v>
      </c>
      <c r="I37" s="29" t="s">
        <v>88</v>
      </c>
      <c r="J37" s="30"/>
      <c r="K37" s="31" t="s">
        <v>27</v>
      </c>
      <c r="L37" s="32">
        <v>1</v>
      </c>
      <c r="M37" s="31" t="s">
        <v>59</v>
      </c>
      <c r="N37" s="33">
        <v>0</v>
      </c>
      <c r="O37" s="51" cm="1">
        <f t="array" aca="1" ref="O37" ca="1">IF(K37="SI",IF(N37&lt;&gt;0,(INDIRECT(M37)*N37)/L37,0),0)</f>
        <v>0</v>
      </c>
      <c r="P37" s="51" cm="1">
        <f t="array" aca="1" ref="P37" ca="1">IF(N37&lt;&gt;0,(INDIRECT(M37)*N37)/L37,0)</f>
        <v>0</v>
      </c>
      <c r="Q37" s="38">
        <v>3</v>
      </c>
    </row>
    <row r="38" spans="1:17" hidden="1" outlineLevel="4">
      <c r="A38" s="43">
        <v>0</v>
      </c>
      <c r="B38" s="41" t="s">
        <v>62</v>
      </c>
      <c r="C38" s="41" t="s">
        <v>89</v>
      </c>
      <c r="D38" s="25" t="str">
        <f>IFERROR(VLOOKUP(C38,Todos,2,FALSE),"")</f>
        <v></v>
      </c>
      <c r="E38" s="42" t="s">
        <v>92</v>
      </c>
      <c r="F38" s="43">
        <v>0</v>
      </c>
      <c r="G38" s="28">
        <f t="shared" si="19"/>
        <v>45195.54166666665</v>
      </c>
      <c r="H38" s="28">
        <f t="shared" si="20"/>
        <v>45195.54166666665</v>
      </c>
      <c r="I38" s="29" t="s">
        <v>88</v>
      </c>
      <c r="J38" s="30"/>
      <c r="K38" s="31" t="s">
        <v>27</v>
      </c>
      <c r="L38" s="32">
        <v>1</v>
      </c>
      <c r="M38" s="31" t="s">
        <v>59</v>
      </c>
      <c r="N38" s="33">
        <v>0</v>
      </c>
      <c r="O38" s="51" cm="1">
        <f t="array" aca="1" ref="O38" ca="1">IF(K38="SI",IF(N38&lt;&gt;0,(INDIRECT(M38)*N38)/L38,0),0)</f>
        <v>0</v>
      </c>
      <c r="P38" s="51" cm="1">
        <f t="array" aca="1" ref="P38" ca="1">IF(N38&lt;&gt;0,(INDIRECT(M38)*N38)/L38,0)</f>
        <v>0</v>
      </c>
      <c r="Q38" s="38">
        <v>3</v>
      </c>
    </row>
    <row r="39" spans="1:17" hidden="1" outlineLevel="4">
      <c r="A39" s="43">
        <v>0</v>
      </c>
      <c r="B39" s="41" t="s">
        <v>62</v>
      </c>
      <c r="C39" s="41" t="s">
        <v>80</v>
      </c>
      <c r="D39" s="25" t="str">
        <f t="shared" ref="D39:D53" si="26">IFERROR(VLOOKUP(C39,Todos,2,FALSE),"")</f>
        <v></v>
      </c>
      <c r="E39" s="42" t="s">
        <v>81</v>
      </c>
      <c r="F39" s="43">
        <v>0</v>
      </c>
      <c r="G39" s="28">
        <f t="shared" si="19"/>
        <v>45195.54166666665</v>
      </c>
      <c r="H39" s="28">
        <f t="shared" si="20"/>
        <v>45195.54166666665</v>
      </c>
      <c r="I39" s="29" t="s">
        <v>88</v>
      </c>
      <c r="J39" s="30"/>
      <c r="K39" s="31" t="s">
        <v>27</v>
      </c>
      <c r="L39" s="32">
        <v>1</v>
      </c>
      <c r="M39" s="31" t="s">
        <v>59</v>
      </c>
      <c r="N39" s="33">
        <v>0</v>
      </c>
      <c r="O39" s="51" cm="1">
        <f t="array" aca="1" ref="O39" ca="1">IF(K39="SI",IF(N39&lt;&gt;0,(INDIRECT(M39)*N39)/L39,0),0)</f>
        <v>0</v>
      </c>
      <c r="P39" s="51" cm="1">
        <f t="array" aca="1" ref="P39" ca="1">IF(N39&lt;&gt;0,(INDIRECT(M39)*N39)/L39,0)</f>
        <v>0</v>
      </c>
      <c r="Q39" s="38">
        <v>3</v>
      </c>
    </row>
    <row r="40" spans="1:17" hidden="1" outlineLevel="4">
      <c r="A40" s="43">
        <v>0</v>
      </c>
      <c r="B40" s="41" t="s">
        <v>38</v>
      </c>
      <c r="C40" s="41" t="s">
        <v>77</v>
      </c>
      <c r="D40" s="25" t="str">
        <f>IFERROR(VLOOKUP(C40,Todos,2,FALSE),"")</f>
        <v></v>
      </c>
      <c r="E40" s="42" t="s">
        <v>93</v>
      </c>
      <c r="F40" s="43">
        <v>40</v>
      </c>
      <c r="G40" s="28">
        <f t="shared" si="19"/>
        <v>45195.54166666665</v>
      </c>
      <c r="H40" s="28">
        <f t="shared" si="20"/>
        <v>45195.569444444431</v>
      </c>
      <c r="I40" s="29" t="s">
        <v>94</v>
      </c>
      <c r="J40" s="30">
        <v>0.5</v>
      </c>
      <c r="K40" s="31" t="s">
        <v>58</v>
      </c>
      <c r="L40" s="32">
        <v>1</v>
      </c>
      <c r="M40" s="31" t="s">
        <v>59</v>
      </c>
      <c r="N40" s="33">
        <v>1.75</v>
      </c>
      <c r="O40" s="51" cm="1">
        <f t="array" aca="1" ref="O40" ca="1">IF(K40="SI",IF(N40&lt;&gt;0,(INDIRECT(M40)*N40)/L40,0),0)</f>
        <v>0</v>
      </c>
      <c r="P40" s="51" t="e" cm="1">
        <f t="array" aca="1" ref="P40" ca="1">IF(N40&lt;&gt;0,(INDIRECT(M40)*N40)/L40,0)</f>
        <v>#REF!</v>
      </c>
      <c r="Q40" s="38">
        <v>3</v>
      </c>
    </row>
    <row r="41" spans="1:17" hidden="1" outlineLevel="4">
      <c r="A41" s="43">
        <v>0</v>
      </c>
      <c r="B41" s="41" t="s">
        <v>71</v>
      </c>
      <c r="C41" s="41" t="s">
        <v>95</v>
      </c>
      <c r="D41" s="25" t="str">
        <f>IFERROR(VLOOKUP(C41,Todos,2,FALSE),"")</f>
        <v></v>
      </c>
      <c r="E41" s="42" t="s">
        <v>96</v>
      </c>
      <c r="F41" s="43">
        <v>75</v>
      </c>
      <c r="G41" s="28">
        <f t="shared" si="19"/>
        <v>45195.569444444431</v>
      </c>
      <c r="H41" s="28">
        <f t="shared" si="20"/>
        <v>45195.621527777766</v>
      </c>
      <c r="I41" s="29" t="s">
        <v>97</v>
      </c>
      <c r="J41" s="30"/>
      <c r="K41" s="31" t="s">
        <v>58</v>
      </c>
      <c r="L41" s="32">
        <v>1</v>
      </c>
      <c r="M41" s="31" t="s">
        <v>59</v>
      </c>
      <c r="N41" s="33">
        <v>24.95</v>
      </c>
      <c r="O41" s="51" cm="1">
        <f t="array" aca="1" ref="O41" ca="1">IF(K41="SI",IF(N41&lt;&gt;0,(INDIRECT(M41)*N41)/L41,0),0)</f>
        <v>0</v>
      </c>
      <c r="P41" s="51" t="e" cm="1">
        <f t="array" aca="1" ref="P41" ca="1">IF(N41&lt;&gt;0,(INDIRECT(M41)*N41)/L41,0)</f>
        <v>#REF!</v>
      </c>
      <c r="Q41" s="38">
        <v>3</v>
      </c>
    </row>
    <row r="42" spans="1:17" hidden="1" outlineLevel="4">
      <c r="A42" s="43">
        <v>0</v>
      </c>
      <c r="B42" s="41" t="s">
        <v>38</v>
      </c>
      <c r="C42" s="41" t="s">
        <v>60</v>
      </c>
      <c r="D42" s="25" t="str">
        <f>IFERROR(VLOOKUP(C42,Todos,2,FALSE),"")</f>
        <v></v>
      </c>
      <c r="E42" s="42" t="s">
        <v>98</v>
      </c>
      <c r="F42" s="43">
        <v>15</v>
      </c>
      <c r="G42" s="28">
        <f t="shared" si="19"/>
        <v>45195.621527777766</v>
      </c>
      <c r="H42" s="28">
        <f t="shared" si="20"/>
        <v>45195.631944444431</v>
      </c>
      <c r="I42" s="29"/>
      <c r="J42" s="30">
        <v>1</v>
      </c>
      <c r="K42" s="31"/>
      <c r="L42" s="32"/>
      <c r="M42" s="31"/>
      <c r="N42" s="33"/>
      <c r="O42" s="51">
        <v>0</v>
      </c>
      <c r="P42" s="51">
        <v>0</v>
      </c>
      <c r="Q42" s="38">
        <v>3</v>
      </c>
    </row>
    <row r="43" spans="1:17" hidden="1" outlineLevel="4">
      <c r="A43" s="43">
        <v>0</v>
      </c>
      <c r="B43" s="41" t="s">
        <v>62</v>
      </c>
      <c r="C43" s="41" t="s">
        <v>86</v>
      </c>
      <c r="D43" s="25" t="str">
        <f t="shared" ref="D43:D57" si="27">IFERROR(VLOOKUP(C43,Todos,2,FALSE),"")</f>
        <v></v>
      </c>
      <c r="E43" s="42" t="s">
        <v>99</v>
      </c>
      <c r="F43" s="43">
        <v>20</v>
      </c>
      <c r="G43" s="28">
        <f t="shared" si="19"/>
        <v>45195.631944444431</v>
      </c>
      <c r="H43" s="28">
        <f t="shared" si="20"/>
        <v>45195.645833333321</v>
      </c>
      <c r="I43" s="54" t="s">
        <v>100</v>
      </c>
      <c r="J43" s="30">
        <v>0.5</v>
      </c>
      <c r="K43" s="31" t="s">
        <v>27</v>
      </c>
      <c r="L43" s="32">
        <v>1</v>
      </c>
      <c r="M43" s="31" t="s">
        <v>59</v>
      </c>
      <c r="N43" s="33">
        <v>0</v>
      </c>
      <c r="O43" s="51" cm="1">
        <f t="array" aca="1" ref="O43" ca="1">IF(K43="SI",IF(N43&lt;&gt;0,(INDIRECT(M43)*N43)/L43,0),0)</f>
        <v>0</v>
      </c>
      <c r="P43" s="51" cm="1">
        <f t="array" aca="1" ref="P43" ca="1">IF(N43&lt;&gt;0,(INDIRECT(M43)*N43)/L43,0)</f>
        <v>0</v>
      </c>
      <c r="Q43" s="38">
        <v>3</v>
      </c>
    </row>
    <row r="44" spans="1:17" hidden="1" outlineLevel="4">
      <c r="A44" s="43">
        <v>0</v>
      </c>
      <c r="B44" s="41" t="s">
        <v>38</v>
      </c>
      <c r="C44" s="41" t="s">
        <v>60</v>
      </c>
      <c r="D44" s="25" t="str">
        <f t="shared" ref="D44:D58" si="28">IFERROR(VLOOKUP(C44,Todos,2,FALSE),"")</f>
        <v></v>
      </c>
      <c r="E44" s="42" t="s">
        <v>101</v>
      </c>
      <c r="F44" s="43">
        <v>15</v>
      </c>
      <c r="G44" s="28">
        <f t="shared" si="19"/>
        <v>45195.645833333321</v>
      </c>
      <c r="H44" s="28">
        <f t="shared" si="20"/>
        <v>45195.656249999985</v>
      </c>
      <c r="I44" s="29"/>
      <c r="J44" s="30">
        <v>1</v>
      </c>
      <c r="K44" s="31"/>
      <c r="L44" s="32"/>
      <c r="M44" s="31"/>
      <c r="N44" s="33"/>
      <c r="O44" s="51" cm="1">
        <f t="array" aca="1" ref="O44" ca="1">IF(K44="SI",IF(N44&lt;&gt;0,(INDIRECT(M44)*N44)/L44,0),0)</f>
        <v>0</v>
      </c>
      <c r="P44" s="51" cm="1">
        <f t="array" aca="1" ref="P44" ca="1">IF(N44&lt;&gt;0,(INDIRECT(M44)*N44)/L44,0)</f>
        <v>0</v>
      </c>
      <c r="Q44" s="38">
        <v>3</v>
      </c>
    </row>
    <row r="45" spans="1:17" ht="31.5" hidden="1" outlineLevel="4">
      <c r="A45" s="43">
        <v>0</v>
      </c>
      <c r="B45" s="41" t="s">
        <v>62</v>
      </c>
      <c r="C45" s="41" t="s">
        <v>102</v>
      </c>
      <c r="D45" s="25" t="str">
        <f t="shared" ref="D45:D59" si="29">IFERROR(VLOOKUP(C45,Todos,2,FALSE),"")</f>
        <v></v>
      </c>
      <c r="E45" s="42" t="s">
        <v>103</v>
      </c>
      <c r="F45" s="43">
        <v>125</v>
      </c>
      <c r="G45" s="28">
        <f t="shared" si="19"/>
        <v>45195.656249999985</v>
      </c>
      <c r="H45" s="28">
        <f t="shared" si="20"/>
        <v>45195.74305555554</v>
      </c>
      <c r="I45" s="29" t="s">
        <v>104</v>
      </c>
      <c r="J45" s="30">
        <v>1.5</v>
      </c>
      <c r="K45" s="31" t="s">
        <v>27</v>
      </c>
      <c r="L45" s="32">
        <v>1</v>
      </c>
      <c r="M45" s="31" t="s">
        <v>59</v>
      </c>
      <c r="N45" s="33">
        <v>0</v>
      </c>
      <c r="O45" s="51" cm="1">
        <f t="array" aca="1" ref="O45" ca="1">IF(K45="SI",IF(N45&lt;&gt;0,(INDIRECT(M45)*N45)/L45,0),0)</f>
        <v>0</v>
      </c>
      <c r="P45" s="51" cm="1">
        <f t="array" aca="1" ref="P45" ca="1">IF(N45&lt;&gt;0,(INDIRECT(M45)*N45)/L45,0)</f>
        <v>0</v>
      </c>
      <c r="Q45" s="38">
        <v>3</v>
      </c>
    </row>
    <row r="46" spans="1:17" ht="21" hidden="1" outlineLevel="4">
      <c r="A46" s="43">
        <v>0</v>
      </c>
      <c r="B46" s="41" t="s">
        <v>62</v>
      </c>
      <c r="C46" s="41" t="s">
        <v>102</v>
      </c>
      <c r="D46" s="25" t="str">
        <f t="shared" ref="D46:D60" si="30">IFERROR(VLOOKUP(C46,Todos,2,FALSE),"")</f>
        <v></v>
      </c>
      <c r="E46" s="42" t="s">
        <v>105</v>
      </c>
      <c r="F46" s="43">
        <v>10</v>
      </c>
      <c r="G46" s="28">
        <f t="shared" si="19"/>
        <v>45195.74305555554</v>
      </c>
      <c r="H46" s="28">
        <f t="shared" si="20"/>
        <v>45195.749999999985</v>
      </c>
      <c r="I46" s="29" t="s">
        <v>106</v>
      </c>
      <c r="J46" s="30">
        <v>0</v>
      </c>
      <c r="K46" s="31" t="s">
        <v>27</v>
      </c>
      <c r="L46" s="32">
        <v>1</v>
      </c>
      <c r="M46" s="31" t="s">
        <v>59</v>
      </c>
      <c r="N46" s="33">
        <v>0</v>
      </c>
      <c r="O46" s="51" cm="1">
        <f t="array" aca="1" ref="O46" ca="1">IF(K46="SI",IF(N46&lt;&gt;0,(INDIRECT(M46)*N46)/L46,0),0)</f>
        <v>0</v>
      </c>
      <c r="P46" s="51" cm="1">
        <f t="array" aca="1" ref="P46" ca="1">IF(N46&lt;&gt;0,(INDIRECT(M46)*N46)/L46,0)</f>
        <v>0</v>
      </c>
      <c r="Q46" s="38">
        <v>3</v>
      </c>
    </row>
    <row r="47" spans="1:17" ht="21" hidden="1" outlineLevel="4">
      <c r="A47" s="43">
        <v>0</v>
      </c>
      <c r="B47" s="41" t="s">
        <v>38</v>
      </c>
      <c r="C47" s="41" t="s">
        <v>55</v>
      </c>
      <c r="D47" s="25" t="str">
        <f t="shared" ref="D47:D61" si="31">IFERROR(VLOOKUP(C47,Todos,2,FALSE),"")</f>
        <v></v>
      </c>
      <c r="E47" s="42" t="s">
        <v>107</v>
      </c>
      <c r="F47" s="43">
        <v>60</v>
      </c>
      <c r="G47" s="28">
        <f t="shared" si="19"/>
        <v>45195.749999999985</v>
      </c>
      <c r="H47" s="28">
        <f t="shared" si="20"/>
        <v>45195.79166666665</v>
      </c>
      <c r="I47" s="29" t="s">
        <v>108</v>
      </c>
      <c r="J47" s="30">
        <v>1</v>
      </c>
      <c r="K47" s="31" t="s">
        <v>58</v>
      </c>
      <c r="L47" s="32">
        <v>1</v>
      </c>
      <c r="M47" s="31" t="s">
        <v>59</v>
      </c>
      <c r="N47" s="33">
        <v>3.4</v>
      </c>
      <c r="O47" s="51" cm="1">
        <f t="array" aca="1" ref="O47" ca="1">IF(K47="SI",IF(N47&lt;&gt;0,(INDIRECT(M47)*N47)/L47,0),0)</f>
        <v>0</v>
      </c>
      <c r="P47" s="51" t="e" cm="1">
        <f t="array" aca="1" ref="P47" ca="1">IF(N47&lt;&gt;0,(INDIRECT(M47)*N47)/L47,0)</f>
        <v>#REF!</v>
      </c>
      <c r="Q47" s="38">
        <v>3</v>
      </c>
    </row>
    <row r="48" spans="1:17" hidden="1" outlineLevel="4">
      <c r="A48" s="43">
        <v>0</v>
      </c>
      <c r="B48" s="41" t="s">
        <v>71</v>
      </c>
      <c r="C48" s="41" t="s">
        <v>72</v>
      </c>
      <c r="D48" s="25" t="str">
        <f>IFERROR(VLOOKUP(C48,Todos,2,FALSE),"")</f>
        <v></v>
      </c>
      <c r="E48" s="42" t="s">
        <v>109</v>
      </c>
      <c r="F48" s="43">
        <v>60</v>
      </c>
      <c r="G48" s="28">
        <f t="shared" si="19"/>
        <v>45195.79166666665</v>
      </c>
      <c r="H48" s="28">
        <f t="shared" si="20"/>
        <v>45195.833333333314</v>
      </c>
      <c r="I48" s="29" t="s">
        <v>110</v>
      </c>
      <c r="J48" s="30"/>
      <c r="K48" s="31" t="s">
        <v>58</v>
      </c>
      <c r="L48" s="32">
        <v>1</v>
      </c>
      <c r="M48" s="31" t="s">
        <v>59</v>
      </c>
      <c r="N48" s="33">
        <v>10</v>
      </c>
      <c r="O48" s="51" cm="1">
        <f t="array" aca="1" ref="O48" ca="1">IF(K48="SI",IF(N48&lt;&gt;0,(INDIRECT(M48)*N48)/L48,0),0)</f>
        <v>0</v>
      </c>
      <c r="P48" s="51" t="e" cm="1">
        <f t="array" aca="1" ref="P48" ca="1">IF(N48&lt;&gt;0,(INDIRECT(M48)*N48)/L48,0)</f>
        <v>#REF!</v>
      </c>
      <c r="Q48" s="38">
        <v>3</v>
      </c>
    </row>
    <row r="49" spans="1:17" hidden="1" outlineLevel="4">
      <c r="A49" s="43">
        <v>0</v>
      </c>
      <c r="B49" s="41" t="s">
        <v>38</v>
      </c>
      <c r="C49" s="41" t="s">
        <v>60</v>
      </c>
      <c r="D49" s="25" t="str">
        <f>IFERROR(VLOOKUP(C49,Todos,2,FALSE),"")</f>
        <v></v>
      </c>
      <c r="E49" s="42" t="s">
        <v>61</v>
      </c>
      <c r="F49" s="43">
        <v>10</v>
      </c>
      <c r="G49" s="28">
        <f t="shared" si="19"/>
        <v>45195.833333333314</v>
      </c>
      <c r="H49" s="28">
        <f t="shared" si="20"/>
        <v>45195.840277777759</v>
      </c>
      <c r="I49" s="29"/>
      <c r="J49" s="30">
        <v>0.8</v>
      </c>
      <c r="K49" s="31"/>
      <c r="L49" s="32"/>
      <c r="M49" s="31"/>
      <c r="N49" s="50"/>
      <c r="O49" s="51" cm="1">
        <f t="array" aca="1" ref="O49" ca="1">IF(K49="SI",IF(N49&lt;&gt;0,(INDIRECT(M49)*N49)/L49,0),0)</f>
        <v>0</v>
      </c>
      <c r="P49" s="51" cm="1">
        <f t="array" aca="1" ref="P49" ca="1">IF(N49&lt;&gt;0,(INDIRECT(M49)*N49)/L49,0)</f>
        <v>0</v>
      </c>
      <c r="Q49" s="38">
        <v>3</v>
      </c>
    </row>
    <row r="50" spans="1:17" hidden="1" outlineLevel="4">
      <c r="A50" s="43">
        <v>0</v>
      </c>
      <c r="B50" s="41" t="s">
        <v>24</v>
      </c>
      <c r="C50" s="41" t="s">
        <v>35</v>
      </c>
      <c r="D50" s="25" t="str">
        <f t="shared" ref="D50:D56" si="32">IFERROR(VLOOKUP(C50,Todos,2,FALSE),"")</f>
        <v></v>
      </c>
      <c r="E50" s="42" t="s">
        <v>111</v>
      </c>
      <c r="F50" s="43">
        <v>110</v>
      </c>
      <c r="G50" s="28">
        <f t="shared" si="19"/>
        <v>45195.840277777759</v>
      </c>
      <c r="H50" s="28">
        <f t="shared" si="20"/>
        <v>45195.91666666665</v>
      </c>
      <c r="I50" s="29"/>
      <c r="J50" s="30"/>
      <c r="K50" s="31"/>
      <c r="L50" s="32"/>
      <c r="M50" s="31"/>
      <c r="N50" s="33"/>
      <c r="O50" s="51" cm="1">
        <f t="array" aca="1" ref="O50" ca="1">IF(K50="SI",IF(N50&lt;&gt;0,(INDIRECT(M50)*N50)/L50,0),0)</f>
        <v>0</v>
      </c>
      <c r="P50" s="51" cm="1">
        <f t="array" aca="1" ref="P50" ca="1">IF(N50&lt;&gt;0,(INDIRECT(M50)*N50)/L50,0)</f>
        <v>0</v>
      </c>
      <c r="Q50" s="38">
        <v>3</v>
      </c>
    </row>
    <row r="51" spans="1:17" hidden="1" outlineLevel="4">
      <c r="A51" s="43">
        <v>0</v>
      </c>
      <c r="B51" s="41" t="s">
        <v>24</v>
      </c>
      <c r="C51" s="41" t="s">
        <v>37</v>
      </c>
      <c r="D51" s="25" t="str">
        <f>IFERROR(VLOOKUP(C51,Todos,2,FALSE),"")</f>
        <v></v>
      </c>
      <c r="E51" s="42" t="s">
        <v>37</v>
      </c>
      <c r="F51" s="43">
        <v>120</v>
      </c>
      <c r="G51" s="28">
        <f t="shared" si="19"/>
        <v>45195.91666666665</v>
      </c>
      <c r="H51" s="28">
        <f t="shared" si="20"/>
        <v>45195.999999999985</v>
      </c>
      <c r="I51" s="29"/>
      <c r="J51" s="30"/>
      <c r="K51" s="31"/>
      <c r="L51" s="32"/>
      <c r="M51" s="31"/>
      <c r="N51" s="33"/>
      <c r="O51" s="51" cm="1">
        <f t="array" aca="1" ref="O51" ca="1">IF(K51="SI",IF(N51&lt;&gt;0,(INDIRECT(M51)*N51)/L51,0),0)</f>
        <v>0</v>
      </c>
      <c r="P51" s="51" cm="1">
        <f t="array" aca="1" ref="P51" ca="1">IF(N51&lt;&gt;0,(INDIRECT(M51)*N51)/L51,0)</f>
        <v>0</v>
      </c>
      <c r="Q51" s="38">
        <v>3</v>
      </c>
    </row>
    <row r="52" spans="1:17" hidden="1" outlineLevel="3">
      <c r="A52" s="23">
        <v>0</v>
      </c>
      <c r="B52" s="41" t="s">
        <v>15</v>
      </c>
      <c r="C52" s="41" t="s">
        <v>22</v>
      </c>
      <c r="D52" s="25" t="str">
        <f t="shared" ref="D52:D298" si="33">IFERROR(VLOOKUP(C52,Todos,2,FALSE),"")</f>
        <v></v>
      </c>
      <c r="E52" s="39" t="s">
        <v>112</v>
      </c>
      <c r="F52" s="43">
        <f>SUM(F53:F78)</f>
        <v>1440</v>
      </c>
      <c r="G52" s="28">
        <f>H51</f>
        <v>45195.999999999985</v>
      </c>
      <c r="H52" s="28">
        <f t="shared" si="20"/>
        <v>45196.999999999985</v>
      </c>
      <c r="I52" s="29" t="str">
        <f>PROPER(TEXT(G52,"dddd"))</f>
        <v>Miércoles</v>
      </c>
      <c r="J52" s="30">
        <f>SUM(J53:J78)</f>
        <v>13.8</v>
      </c>
      <c r="K52" s="31"/>
      <c r="L52" s="32"/>
      <c r="M52" s="31"/>
      <c r="N52" s="48"/>
      <c r="O52" s="49" t="e">
        <f ca="1">SUM(O53:O78)</f>
        <v>#REF!</v>
      </c>
      <c r="P52" s="49" t="e">
        <f ca="1">SUM(P53:P78)</f>
        <v>#REF!</v>
      </c>
      <c r="Q52" s="38">
        <f>AVERAGE(Q53:Q78)</f>
        <v>3</v>
      </c>
    </row>
    <row r="53" spans="1:17" hidden="1" outlineLevel="4">
      <c r="A53" s="43">
        <v>0</v>
      </c>
      <c r="B53" s="41" t="s">
        <v>24</v>
      </c>
      <c r="C53" s="41" t="s">
        <v>37</v>
      </c>
      <c r="D53" s="25" t="str">
        <f>IFERROR(VLOOKUP(C53,Todos,2,FALSE),"")</f>
        <v></v>
      </c>
      <c r="E53" s="42" t="s">
        <v>37</v>
      </c>
      <c r="F53" s="43">
        <v>460</v>
      </c>
      <c r="G53" s="28">
        <f>H51</f>
        <v>45195.999999999985</v>
      </c>
      <c r="H53" s="28">
        <f t="shared" si="20"/>
        <v>45196.319444444431</v>
      </c>
      <c r="I53" s="29"/>
      <c r="J53" s="30"/>
      <c r="K53" s="31"/>
      <c r="L53" s="32"/>
      <c r="M53" s="31"/>
      <c r="N53" s="33"/>
      <c r="O53" s="51" cm="1">
        <f t="array" aca="1" ref="O53" ca="1">IF(K53="SI",IF(N53&lt;&gt;0,(INDIRECT(M53)*N53)/L53,0),0)</f>
        <v>0</v>
      </c>
      <c r="P53" s="51" cm="1">
        <f t="array" aca="1" ref="P53" ca="1">IF(N53&lt;&gt;0,(INDIRECT(M53)*N53)/L53,0)</f>
        <v>0</v>
      </c>
      <c r="Q53" s="38">
        <v>3</v>
      </c>
    </row>
    <row r="54" spans="1:17" hidden="1" outlineLevel="4">
      <c r="A54" s="43">
        <v>0</v>
      </c>
      <c r="B54" s="41" t="s">
        <v>71</v>
      </c>
      <c r="C54" s="41" t="s">
        <v>75</v>
      </c>
      <c r="D54" s="25" t="str">
        <f t="shared" ref="D54:D78" si="34">IFERROR(VLOOKUP(C54,Todos,2,FALSE),"")</f>
        <v></v>
      </c>
      <c r="E54" s="42" t="s">
        <v>75</v>
      </c>
      <c r="F54" s="43">
        <v>60</v>
      </c>
      <c r="G54" s="28">
        <f>H53</f>
        <v>45196.319444444431</v>
      </c>
      <c r="H54" s="28">
        <f t="shared" si="20"/>
        <v>45196.361111111095</v>
      </c>
      <c r="I54" s="29" t="s">
        <v>76</v>
      </c>
      <c r="J54" s="30"/>
      <c r="K54" s="31" t="s">
        <v>27</v>
      </c>
      <c r="L54" s="32">
        <v>1</v>
      </c>
      <c r="M54" s="31" t="s">
        <v>59</v>
      </c>
      <c r="N54" s="33">
        <v>0</v>
      </c>
      <c r="O54" s="51" cm="1">
        <f t="array" aca="1" ref="O54" ca="1">IF(K54="SI",IF(N54&lt;&gt;0,(INDIRECT(M54)*N54)/L54,0),0)</f>
        <v>0</v>
      </c>
      <c r="P54" s="51" cm="1">
        <f t="array" aca="1" ref="P54" ca="1">IF(N54&lt;&gt;0,(INDIRECT(M54)*N54)/L54,0)</f>
        <v>0</v>
      </c>
      <c r="Q54" s="38">
        <v>3</v>
      </c>
    </row>
    <row r="55" spans="1:17" hidden="1" outlineLevel="4">
      <c r="A55" s="43">
        <v>0</v>
      </c>
      <c r="B55" s="41" t="s">
        <v>38</v>
      </c>
      <c r="C55" s="41" t="s">
        <v>60</v>
      </c>
      <c r="D55" s="25" t="str">
        <f>IFERROR(VLOOKUP(C55,Todos,2,FALSE),"")</f>
        <v></v>
      </c>
      <c r="E55" s="42" t="s">
        <v>113</v>
      </c>
      <c r="F55" s="43">
        <v>10</v>
      </c>
      <c r="G55" s="28">
        <f t="shared" ref="G55:G77" si="35">H54</f>
        <v>45196.361111111095</v>
      </c>
      <c r="H55" s="28">
        <f t="shared" si="20"/>
        <v>45196.36805555554</v>
      </c>
      <c r="I55" s="29"/>
      <c r="J55" s="30">
        <v>0.6</v>
      </c>
      <c r="K55" s="31"/>
      <c r="L55" s="32"/>
      <c r="M55" s="31"/>
      <c r="N55" s="50"/>
      <c r="O55" s="51" cm="1">
        <f t="array" aca="1" ref="O55" ca="1">IF(K55="SI",IF(N55&lt;&gt;0,(INDIRECT(M55)*N55)/L55,0),0)</f>
        <v>0</v>
      </c>
      <c r="P55" s="51" cm="1">
        <f t="array" aca="1" ref="P55" ca="1">IF(N55&lt;&gt;0,(INDIRECT(M55)*N55)/L55,0)</f>
        <v>0</v>
      </c>
      <c r="Q55" s="38">
        <v>3</v>
      </c>
    </row>
    <row r="56" spans="1:17" hidden="1" outlineLevel="4">
      <c r="A56" s="43">
        <v>0</v>
      </c>
      <c r="B56" s="41" t="s">
        <v>38</v>
      </c>
      <c r="C56" s="41" t="s">
        <v>55</v>
      </c>
      <c r="D56" s="25" t="str">
        <f t="shared" ref="D56:D80" si="36">IFERROR(VLOOKUP(C56,Todos,2,FALSE),"")</f>
        <v></v>
      </c>
      <c r="E56" s="42" t="s">
        <v>114</v>
      </c>
      <c r="F56" s="43">
        <v>30</v>
      </c>
      <c r="G56" s="28">
        <f t="shared" si="35"/>
        <v>45196.36805555554</v>
      </c>
      <c r="H56" s="28">
        <f t="shared" si="20"/>
        <v>45196.388888888876</v>
      </c>
      <c r="I56" s="29" t="s">
        <v>115</v>
      </c>
      <c r="J56" s="30"/>
      <c r="K56" s="31" t="s">
        <v>58</v>
      </c>
      <c r="L56" s="32">
        <v>1</v>
      </c>
      <c r="M56" s="31" t="s">
        <v>59</v>
      </c>
      <c r="N56" s="33">
        <v>3.4</v>
      </c>
      <c r="O56" s="51" cm="1">
        <f t="array" aca="1" ref="O56" ca="1">IF(K56="SI",IF(N56&lt;&gt;0,(INDIRECT(M56)*N56)/L56,0),0)</f>
        <v>0</v>
      </c>
      <c r="P56" s="51" t="e" cm="1">
        <f t="array" aca="1" ref="P56" ca="1">IF(N56&lt;&gt;0,(INDIRECT(M56)*N56)/L56,0)</f>
        <v>#REF!</v>
      </c>
      <c r="Q56" s="38">
        <v>3</v>
      </c>
    </row>
    <row r="57" spans="1:17" ht="21" hidden="1" outlineLevel="4">
      <c r="A57" s="43">
        <v>0</v>
      </c>
      <c r="B57" s="41" t="s">
        <v>24</v>
      </c>
      <c r="C57" s="41" t="s">
        <v>116</v>
      </c>
      <c r="D57" s="25" t="str">
        <f>IFERROR(VLOOKUP(C57,Todos,2,FALSE),"")</f>
        <v></v>
      </c>
      <c r="E57" s="42" t="s">
        <v>117</v>
      </c>
      <c r="F57" s="43">
        <v>0</v>
      </c>
      <c r="G57" s="28">
        <f t="shared" si="35"/>
        <v>45196.388888888876</v>
      </c>
      <c r="H57" s="28">
        <f t="shared" si="20"/>
        <v>45196.388888888876</v>
      </c>
      <c r="I57" s="29" t="s">
        <v>118</v>
      </c>
      <c r="J57" s="30"/>
      <c r="K57" s="31" t="s">
        <v>27</v>
      </c>
      <c r="L57" s="32">
        <v>2</v>
      </c>
      <c r="M57" s="31" t="s">
        <v>28</v>
      </c>
      <c r="N57" s="33">
        <v>841234</v>
      </c>
      <c r="O57" s="51" t="e" cm="1">
        <f t="array" aca="1" ref="O57" ca="1">IF(K57="SI",IF(N57&lt;&gt;0,(INDIRECT(M57)*N57)/L57,0),0)</f>
        <v>#REF!</v>
      </c>
      <c r="P57" s="51" t="e" cm="1">
        <f t="array" aca="1" ref="P57" ca="1">IF(N57&lt;&gt;0,(INDIRECT(M57)*N57)/L57,0)</f>
        <v>#REF!</v>
      </c>
      <c r="Q57" s="38">
        <v>3</v>
      </c>
    </row>
    <row r="58" spans="1:17" ht="31.5" hidden="1" outlineLevel="4">
      <c r="A58" s="43">
        <v>0</v>
      </c>
      <c r="B58" s="41" t="s">
        <v>62</v>
      </c>
      <c r="C58" s="41" t="s">
        <v>119</v>
      </c>
      <c r="D58" s="25" t="str">
        <f t="shared" ref="D58:D73" si="37">IFERROR(VLOOKUP(C58,Todos,2,FALSE),"")</f>
        <v></v>
      </c>
      <c r="E58" s="42" t="s">
        <v>120</v>
      </c>
      <c r="F58" s="43">
        <v>70</v>
      </c>
      <c r="G58" s="28">
        <f t="shared" si="35"/>
        <v>45196.388888888876</v>
      </c>
      <c r="H58" s="28">
        <f t="shared" si="20"/>
        <v>45196.437499999985</v>
      </c>
      <c r="I58" s="29" t="s">
        <v>121</v>
      </c>
      <c r="J58" s="30">
        <v>1</v>
      </c>
      <c r="K58" s="31" t="s">
        <v>27</v>
      </c>
      <c r="L58" s="32">
        <v>1</v>
      </c>
      <c r="M58" s="31" t="s">
        <v>59</v>
      </c>
      <c r="N58" s="33">
        <v>0</v>
      </c>
      <c r="O58" s="51" cm="1">
        <f t="array" aca="1" ref="O58" ca="1">IF(K58="SI",IF(N58&lt;&gt;0,(INDIRECT(M58)*N58)/L58,0),0)</f>
        <v>0</v>
      </c>
      <c r="P58" s="51" cm="1">
        <f t="array" aca="1" ref="P58" ca="1">IF(N58&lt;&gt;0,(INDIRECT(M58)*N58)/L58,0)</f>
        <v>0</v>
      </c>
      <c r="Q58" s="38">
        <v>3</v>
      </c>
    </row>
    <row r="59" spans="1:17" hidden="1" outlineLevel="4">
      <c r="A59" s="43">
        <v>0</v>
      </c>
      <c r="B59" s="41" t="s">
        <v>38</v>
      </c>
      <c r="C59" s="41" t="s">
        <v>60</v>
      </c>
      <c r="D59" s="25" t="str">
        <f t="shared" ref="D59:D74" si="38">IFERROR(VLOOKUP(C59,Todos,2,FALSE),"")</f>
        <v></v>
      </c>
      <c r="E59" s="42" t="s">
        <v>122</v>
      </c>
      <c r="F59" s="43">
        <v>30</v>
      </c>
      <c r="G59" s="28">
        <f t="shared" si="35"/>
        <v>45196.437499999985</v>
      </c>
      <c r="H59" s="28">
        <f t="shared" si="20"/>
        <v>45196.458333333321</v>
      </c>
      <c r="I59" s="29"/>
      <c r="J59" s="30">
        <v>1.1000000000000001</v>
      </c>
      <c r="K59" s="31"/>
      <c r="L59" s="32"/>
      <c r="M59" s="31"/>
      <c r="N59" s="33"/>
      <c r="O59" s="51" cm="1">
        <f t="array" aca="1" ref="O59" ca="1">IF(K59="SI",IF(N59&lt;&gt;0,(INDIRECT(M59)*N59)/L59,0),0)</f>
        <v>0</v>
      </c>
      <c r="P59" s="51" cm="1">
        <f t="array" aca="1" ref="P59" ca="1">IF(N59&lt;&gt;0,(INDIRECT(M59)*N59)/L59,0)</f>
        <v>0</v>
      </c>
      <c r="Q59" s="38">
        <v>3</v>
      </c>
    </row>
    <row r="60" spans="1:17" ht="31.5" hidden="1" outlineLevel="4">
      <c r="A60" s="43">
        <v>0</v>
      </c>
      <c r="B60" s="41" t="s">
        <v>62</v>
      </c>
      <c r="C60" s="41" t="s">
        <v>102</v>
      </c>
      <c r="D60" s="25" t="str">
        <f t="shared" ref="D60:D75" si="39">IFERROR(VLOOKUP(C60,Todos,2,FALSE),"")</f>
        <v></v>
      </c>
      <c r="E60" s="42" t="s">
        <v>123</v>
      </c>
      <c r="F60" s="43">
        <v>60</v>
      </c>
      <c r="G60" s="28">
        <f t="shared" si="35"/>
        <v>45196.458333333321</v>
      </c>
      <c r="H60" s="28">
        <f t="shared" si="20"/>
        <v>45196.499999999985</v>
      </c>
      <c r="I60" s="29" t="s">
        <v>124</v>
      </c>
      <c r="J60" s="30">
        <v>1</v>
      </c>
      <c r="K60" s="31" t="s">
        <v>27</v>
      </c>
      <c r="L60" s="32">
        <v>1</v>
      </c>
      <c r="M60" s="31" t="s">
        <v>59</v>
      </c>
      <c r="N60" s="33">
        <v>0</v>
      </c>
      <c r="O60" s="51" cm="1">
        <f t="array" aca="1" ref="O60" ca="1">IF(K60="SI",IF(N60&lt;&gt;0,(INDIRECT(M60)*N60)/L60,0),0)</f>
        <v>0</v>
      </c>
      <c r="P60" s="51" cm="1">
        <f t="array" aca="1" ref="P60" ca="1">IF(N60&lt;&gt;0,(INDIRECT(M60)*N60)/L60,0)</f>
        <v>0</v>
      </c>
      <c r="Q60" s="38">
        <v>3</v>
      </c>
    </row>
    <row r="61" spans="1:17" hidden="1" outlineLevel="4">
      <c r="A61" s="43">
        <v>0</v>
      </c>
      <c r="B61" s="41" t="s">
        <v>38</v>
      </c>
      <c r="C61" s="41" t="s">
        <v>60</v>
      </c>
      <c r="D61" s="25" t="str">
        <f t="shared" ref="D61:D76" si="40">IFERROR(VLOOKUP(C61,Todos,2,FALSE),"")</f>
        <v></v>
      </c>
      <c r="E61" s="42" t="s">
        <v>125</v>
      </c>
      <c r="F61" s="43">
        <v>10</v>
      </c>
      <c r="G61" s="28">
        <f t="shared" si="35"/>
        <v>45196.499999999985</v>
      </c>
      <c r="H61" s="28">
        <f t="shared" si="20"/>
        <v>45196.506944444431</v>
      </c>
      <c r="I61" s="29"/>
      <c r="J61" s="30">
        <v>0.5</v>
      </c>
      <c r="K61" s="31"/>
      <c r="L61" s="32"/>
      <c r="M61" s="31"/>
      <c r="N61" s="33"/>
      <c r="O61" s="51" cm="1">
        <f t="array" aca="1" ref="O61" ca="1">IF(K61="SI",IF(N61&lt;&gt;0,(INDIRECT(M61)*N61)/L61,0),0)</f>
        <v>0</v>
      </c>
      <c r="P61" s="51" cm="1">
        <f t="array" aca="1" ref="P61" ca="1">IF(N61&lt;&gt;0,(INDIRECT(M61)*N61)/L61,0)</f>
        <v>0</v>
      </c>
      <c r="Q61" s="38">
        <v>3</v>
      </c>
    </row>
    <row r="62" spans="1:17" hidden="1" outlineLevel="4">
      <c r="A62" s="43">
        <v>0</v>
      </c>
      <c r="B62" s="41" t="s">
        <v>62</v>
      </c>
      <c r="C62" s="41" t="s">
        <v>126</v>
      </c>
      <c r="D62" s="25" t="str">
        <f>IFERROR(VLOOKUP(C62,Todos,2,FALSE),"")</f>
        <v></v>
      </c>
      <c r="E62" s="42" t="s">
        <v>127</v>
      </c>
      <c r="F62" s="43">
        <v>20</v>
      </c>
      <c r="G62" s="28">
        <f t="shared" si="35"/>
        <v>45196.506944444431</v>
      </c>
      <c r="H62" s="28">
        <f t="shared" si="20"/>
        <v>45196.520833333321</v>
      </c>
      <c r="I62" s="29" t="s">
        <v>128</v>
      </c>
      <c r="J62" s="30"/>
      <c r="K62" s="31" t="s">
        <v>27</v>
      </c>
      <c r="L62" s="32">
        <v>1</v>
      </c>
      <c r="M62" s="31" t="s">
        <v>59</v>
      </c>
      <c r="N62" s="33">
        <v>0</v>
      </c>
      <c r="O62" s="51" cm="1">
        <f t="array" aca="1" ref="O62" ca="1">IF(K62="SI",IF(N62&lt;&gt;0,(INDIRECT(M62)*N62)/L62,0),0)</f>
        <v>0</v>
      </c>
      <c r="P62" s="51" cm="1">
        <f t="array" aca="1" ref="P62" ca="1">IF(N62&lt;&gt;0,(INDIRECT(M62)*N62)/L62,0)</f>
        <v>0</v>
      </c>
      <c r="Q62" s="38">
        <v>3</v>
      </c>
    </row>
    <row r="63" spans="1:17" hidden="1" outlineLevel="4">
      <c r="A63" s="43">
        <v>0</v>
      </c>
      <c r="B63" s="41" t="s">
        <v>62</v>
      </c>
      <c r="C63" s="41" t="s">
        <v>129</v>
      </c>
      <c r="D63" s="25" t="str">
        <f>IFERROR(VLOOKUP(C63,Todos,2,FALSE),"")</f>
        <v></v>
      </c>
      <c r="E63" s="42" t="s">
        <v>130</v>
      </c>
      <c r="F63" s="43">
        <v>20</v>
      </c>
      <c r="G63" s="28">
        <f t="shared" si="35"/>
        <v>45196.520833333321</v>
      </c>
      <c r="H63" s="28">
        <f t="shared" si="20"/>
        <v>45196.534722222212</v>
      </c>
      <c r="I63" s="29" t="s">
        <v>131</v>
      </c>
      <c r="J63" s="30">
        <v>0.5</v>
      </c>
      <c r="K63" s="31" t="s">
        <v>27</v>
      </c>
      <c r="L63" s="32">
        <v>1</v>
      </c>
      <c r="M63" s="31" t="s">
        <v>59</v>
      </c>
      <c r="N63" s="33">
        <v>0</v>
      </c>
      <c r="O63" s="51" cm="1">
        <f t="array" aca="1" ref="O63" ca="1">IF(K63="SI",IF(N63&lt;&gt;0,(INDIRECT(M63)*N63)/L63,0),0)</f>
        <v>0</v>
      </c>
      <c r="P63" s="51" cm="1">
        <f t="array" aca="1" ref="P63" ca="1">IF(N63&lt;&gt;0,(INDIRECT(M63)*N63)/L63,0)</f>
        <v>0</v>
      </c>
      <c r="Q63" s="38">
        <v>3</v>
      </c>
    </row>
    <row r="64" spans="1:17" hidden="1" outlineLevel="4">
      <c r="A64" s="43">
        <v>0</v>
      </c>
      <c r="B64" s="41" t="s">
        <v>38</v>
      </c>
      <c r="C64" s="41" t="s">
        <v>60</v>
      </c>
      <c r="D64" s="25" t="str">
        <f t="shared" ref="D64:D79" si="41">IFERROR(VLOOKUP(C64,Todos,2,FALSE),"")</f>
        <v></v>
      </c>
      <c r="E64" s="42" t="s">
        <v>132</v>
      </c>
      <c r="F64" s="43">
        <v>10</v>
      </c>
      <c r="G64" s="28">
        <f t="shared" si="35"/>
        <v>45196.534722222212</v>
      </c>
      <c r="H64" s="28">
        <f t="shared" si="20"/>
        <v>45196.541666666657</v>
      </c>
      <c r="I64" s="29"/>
      <c r="J64" s="30">
        <v>0.8</v>
      </c>
      <c r="K64" s="31"/>
      <c r="L64" s="32"/>
      <c r="M64" s="31"/>
      <c r="N64" s="33"/>
      <c r="O64" s="51" cm="1">
        <f t="array" aca="1" ref="O64" ca="1">IF(K64="SI",IF(N64&lt;&gt;0,(INDIRECT(M64)*N64)/L64,0),0)</f>
        <v>0</v>
      </c>
      <c r="P64" s="51" cm="1">
        <f t="array" aca="1" ref="P64" ca="1">IF(N64&lt;&gt;0,(INDIRECT(M64)*N64)/L64,0)</f>
        <v>0</v>
      </c>
      <c r="Q64" s="38">
        <v>3</v>
      </c>
    </row>
    <row r="65" spans="1:17" hidden="1" outlineLevel="4">
      <c r="A65" s="43">
        <v>0</v>
      </c>
      <c r="B65" s="41" t="s">
        <v>71</v>
      </c>
      <c r="C65" s="41" t="s">
        <v>95</v>
      </c>
      <c r="D65" s="25" t="str">
        <f>IFERROR(VLOOKUP(C65,Todos,2,FALSE),"")</f>
        <v></v>
      </c>
      <c r="E65" s="42" t="s">
        <v>133</v>
      </c>
      <c r="F65" s="43">
        <v>60</v>
      </c>
      <c r="G65" s="28">
        <f t="shared" si="35"/>
        <v>45196.541666666657</v>
      </c>
      <c r="H65" s="28">
        <f t="shared" si="20"/>
        <v>45196.583333333321</v>
      </c>
      <c r="I65" s="29" t="s">
        <v>134</v>
      </c>
      <c r="J65" s="30"/>
      <c r="K65" s="31" t="s">
        <v>58</v>
      </c>
      <c r="L65" s="32">
        <v>1</v>
      </c>
      <c r="M65" s="31" t="s">
        <v>59</v>
      </c>
      <c r="N65" s="33">
        <v>20</v>
      </c>
      <c r="O65" s="51" cm="1">
        <f t="array" aca="1" ref="O65" ca="1">IF(K65="SI",IF(N65&lt;&gt;0,(INDIRECT(M65)*N65)/L65,0),0)</f>
        <v>0</v>
      </c>
      <c r="P65" s="51" t="e" cm="1">
        <f t="array" aca="1" ref="P65" ca="1">IF(N65&lt;&gt;0,(INDIRECT(M65)*N65)/L65,0)</f>
        <v>#REF!</v>
      </c>
      <c r="Q65" s="38">
        <v>3</v>
      </c>
    </row>
    <row r="66" spans="1:17" hidden="1" outlineLevel="4">
      <c r="A66" s="43">
        <v>0</v>
      </c>
      <c r="B66" s="41" t="s">
        <v>62</v>
      </c>
      <c r="C66" s="41" t="s">
        <v>135</v>
      </c>
      <c r="D66" s="25" t="str">
        <f t="shared" ref="D66:D81" si="42">IFERROR(VLOOKUP(C66,Todos,2,FALSE),"")</f>
        <v></v>
      </c>
      <c r="E66" s="42" t="s">
        <v>136</v>
      </c>
      <c r="F66" s="43">
        <v>20</v>
      </c>
      <c r="G66" s="28">
        <f t="shared" si="35"/>
        <v>45196.583333333321</v>
      </c>
      <c r="H66" s="28">
        <f t="shared" si="20"/>
        <v>45196.597222222212</v>
      </c>
      <c r="I66" s="29" t="s">
        <v>137</v>
      </c>
      <c r="J66" s="30">
        <v>0.5</v>
      </c>
      <c r="K66" s="31" t="s">
        <v>27</v>
      </c>
      <c r="L66" s="32">
        <v>1</v>
      </c>
      <c r="M66" s="31" t="s">
        <v>59</v>
      </c>
      <c r="N66" s="33">
        <v>0</v>
      </c>
      <c r="O66" s="51" cm="1">
        <f t="array" aca="1" ref="O66" ca="1">IF(K66="SI",IF(N66&lt;&gt;0,(INDIRECT(M66)*N66)/L66,0),0)</f>
        <v>0</v>
      </c>
      <c r="P66" s="51" cm="1">
        <f t="array" aca="1" ref="P66" ca="1">IF(N66&lt;&gt;0,(INDIRECT(M66)*N66)/L66,0)</f>
        <v>0</v>
      </c>
      <c r="Q66" s="38">
        <v>3</v>
      </c>
    </row>
    <row r="67" spans="1:17" hidden="1" outlineLevel="4">
      <c r="A67" s="43">
        <v>0</v>
      </c>
      <c r="B67" s="41" t="s">
        <v>38</v>
      </c>
      <c r="C67" s="41" t="s">
        <v>60</v>
      </c>
      <c r="D67" s="25" t="str">
        <f t="shared" ref="D67:D82" si="43">IFERROR(VLOOKUP(C67,Todos,2,FALSE),"")</f>
        <v></v>
      </c>
      <c r="E67" s="42" t="s">
        <v>138</v>
      </c>
      <c r="F67" s="43">
        <v>10</v>
      </c>
      <c r="G67" s="28">
        <f t="shared" si="35"/>
        <v>45196.597222222212</v>
      </c>
      <c r="H67" s="28">
        <f t="shared" si="20"/>
        <v>45196.604166666657</v>
      </c>
      <c r="I67" s="29"/>
      <c r="J67" s="30">
        <v>0.5</v>
      </c>
      <c r="K67" s="31"/>
      <c r="L67" s="32"/>
      <c r="M67" s="31"/>
      <c r="N67" s="33"/>
      <c r="O67" s="51" cm="1">
        <f t="array" aca="1" ref="O67" ca="1">IF(K67="SI",IF(N67&lt;&gt;0,(INDIRECT(M67)*N67)/L67,0),0)</f>
        <v>0</v>
      </c>
      <c r="P67" s="51" cm="1">
        <f t="array" aca="1" ref="P67" ca="1">IF(N67&lt;&gt;0,(INDIRECT(M67)*N67)/L67,0)</f>
        <v>0</v>
      </c>
      <c r="Q67" s="38">
        <v>3</v>
      </c>
    </row>
    <row r="68" spans="1:17" hidden="1" outlineLevel="4">
      <c r="A68" s="43">
        <v>0</v>
      </c>
      <c r="B68" s="41" t="s">
        <v>62</v>
      </c>
      <c r="C68" s="41" t="s">
        <v>129</v>
      </c>
      <c r="D68" s="25" t="str">
        <f t="shared" ref="D68:D83" si="44">IFERROR(VLOOKUP(C68,Todos,2,FALSE),"")</f>
        <v></v>
      </c>
      <c r="E68" s="42" t="s">
        <v>139</v>
      </c>
      <c r="F68" s="43">
        <v>20</v>
      </c>
      <c r="G68" s="28">
        <f t="shared" si="35"/>
        <v>45196.604166666657</v>
      </c>
      <c r="H68" s="28">
        <f t="shared" si="20"/>
        <v>45196.618055555547</v>
      </c>
      <c r="I68" s="29" t="s">
        <v>140</v>
      </c>
      <c r="J68" s="30">
        <v>0.5</v>
      </c>
      <c r="K68" s="31" t="s">
        <v>27</v>
      </c>
      <c r="L68" s="32">
        <v>1</v>
      </c>
      <c r="M68" s="31" t="s">
        <v>59</v>
      </c>
      <c r="N68" s="33">
        <v>0</v>
      </c>
      <c r="O68" s="51" cm="1">
        <f t="array" aca="1" ref="O68" ca="1">IF(K68="SI",IF(N68&lt;&gt;0,(INDIRECT(M68)*N68)/L68,0),0)</f>
        <v>0</v>
      </c>
      <c r="P68" s="51" cm="1">
        <f t="array" aca="1" ref="P68" ca="1">IF(N68&lt;&gt;0,(INDIRECT(M68)*N68)/L68,0)</f>
        <v>0</v>
      </c>
      <c r="Q68" s="38">
        <v>3</v>
      </c>
    </row>
    <row r="69" spans="1:17" hidden="1" outlineLevel="4">
      <c r="A69" s="43">
        <v>0</v>
      </c>
      <c r="B69" s="41" t="s">
        <v>38</v>
      </c>
      <c r="C69" s="41" t="s">
        <v>60</v>
      </c>
      <c r="D69" s="25" t="str">
        <f t="shared" ref="D69:D84" si="45">IFERROR(VLOOKUP(C69,Todos,2,FALSE),"")</f>
        <v></v>
      </c>
      <c r="E69" s="42" t="s">
        <v>141</v>
      </c>
      <c r="F69" s="43">
        <v>10</v>
      </c>
      <c r="G69" s="28">
        <f t="shared" si="35"/>
        <v>45196.618055555547</v>
      </c>
      <c r="H69" s="28">
        <f t="shared" si="20"/>
        <v>45196.624999999993</v>
      </c>
      <c r="I69" s="29"/>
      <c r="J69" s="30">
        <v>0.6</v>
      </c>
      <c r="K69" s="31"/>
      <c r="L69" s="32"/>
      <c r="M69" s="31"/>
      <c r="N69" s="33"/>
      <c r="O69" s="51" cm="1">
        <f t="array" aca="1" ref="O69" ca="1">IF(K69="SI",IF(N69&lt;&gt;0,(INDIRECT(M69)*N69)/L69,0),0)</f>
        <v>0</v>
      </c>
      <c r="P69" s="51" cm="1">
        <f t="array" aca="1" ref="P69" ca="1">IF(N69&lt;&gt;0,(INDIRECT(M69)*N69)/L69,0)</f>
        <v>0</v>
      </c>
      <c r="Q69" s="38">
        <v>3</v>
      </c>
    </row>
    <row r="70" spans="1:17" ht="31.5" hidden="1" outlineLevel="4">
      <c r="A70" s="43">
        <v>0</v>
      </c>
      <c r="B70" s="41" t="s">
        <v>62</v>
      </c>
      <c r="C70" s="41" t="s">
        <v>102</v>
      </c>
      <c r="D70" s="25" t="str">
        <f t="shared" ref="D70:D85" si="46">IFERROR(VLOOKUP(C70,Todos,2,FALSE),"")</f>
        <v></v>
      </c>
      <c r="E70" s="42" t="s">
        <v>142</v>
      </c>
      <c r="F70" s="43">
        <v>120</v>
      </c>
      <c r="G70" s="28">
        <f t="shared" si="35"/>
        <v>45196.624999999993</v>
      </c>
      <c r="H70" s="28">
        <f t="shared" si="20"/>
        <v>45196.708333333328</v>
      </c>
      <c r="I70" s="29" t="s">
        <v>143</v>
      </c>
      <c r="J70" s="30">
        <v>1.5</v>
      </c>
      <c r="K70" s="31" t="s">
        <v>27</v>
      </c>
      <c r="L70" s="32">
        <v>1</v>
      </c>
      <c r="M70" s="31" t="s">
        <v>59</v>
      </c>
      <c r="N70" s="33">
        <v>0</v>
      </c>
      <c r="O70" s="51" cm="1">
        <f t="array" aca="1" ref="O70" ca="1">IF(K70="SI",IF(N70&lt;&gt;0,(INDIRECT(M70)*N70)/L70,0),0)</f>
        <v>0</v>
      </c>
      <c r="P70" s="51" cm="1">
        <f t="array" aca="1" ref="P70" ca="1">IF(N70&lt;&gt;0,(INDIRECT(M70)*N70)/L70,0)</f>
        <v>0</v>
      </c>
      <c r="Q70" s="38">
        <v>3</v>
      </c>
    </row>
    <row r="71" spans="1:17" hidden="1" outlineLevel="4">
      <c r="A71" s="43">
        <v>0</v>
      </c>
      <c r="B71" s="41" t="s">
        <v>38</v>
      </c>
      <c r="C71" s="41" t="s">
        <v>60</v>
      </c>
      <c r="D71" s="25" t="str">
        <f t="shared" ref="D71:D86" si="47">IFERROR(VLOOKUP(C71,Todos,2,FALSE),"")</f>
        <v></v>
      </c>
      <c r="E71" s="42" t="s">
        <v>144</v>
      </c>
      <c r="F71" s="43">
        <v>30</v>
      </c>
      <c r="G71" s="28">
        <f t="shared" si="35"/>
        <v>45196.708333333328</v>
      </c>
      <c r="H71" s="28">
        <f t="shared" si="20"/>
        <v>45196.729166666664</v>
      </c>
      <c r="I71" s="29"/>
      <c r="J71" s="30">
        <v>1.5</v>
      </c>
      <c r="K71" s="31"/>
      <c r="L71" s="32"/>
      <c r="M71" s="31"/>
      <c r="N71" s="33"/>
      <c r="O71" s="51" cm="1">
        <f t="array" aca="1" ref="O71" ca="1">IF(K71="SI",IF(N71&lt;&gt;0,(INDIRECT(M71)*N71)/L71,0),0)</f>
        <v>0</v>
      </c>
      <c r="P71" s="51" cm="1">
        <f t="array" aca="1" ref="P71" ca="1">IF(N71&lt;&gt;0,(INDIRECT(M71)*N71)/L71,0)</f>
        <v>0</v>
      </c>
      <c r="Q71" s="38">
        <v>3</v>
      </c>
    </row>
    <row r="72" spans="1:17" hidden="1" outlineLevel="4">
      <c r="A72" s="43">
        <v>0</v>
      </c>
      <c r="B72" s="41" t="s">
        <v>62</v>
      </c>
      <c r="C72" s="41" t="s">
        <v>129</v>
      </c>
      <c r="D72" s="25" t="str">
        <f t="shared" ref="D72:D87" si="48">IFERROR(VLOOKUP(C72,Todos,2,FALSE),"")</f>
        <v></v>
      </c>
      <c r="E72" s="42" t="s">
        <v>145</v>
      </c>
      <c r="F72" s="43">
        <v>30</v>
      </c>
      <c r="G72" s="28">
        <f t="shared" si="35"/>
        <v>45196.729166666664</v>
      </c>
      <c r="H72" s="28">
        <f t="shared" si="20"/>
        <v>45196.75</v>
      </c>
      <c r="I72" s="29" t="s">
        <v>146</v>
      </c>
      <c r="J72" s="30"/>
      <c r="K72" s="31" t="s">
        <v>27</v>
      </c>
      <c r="L72" s="32">
        <v>1</v>
      </c>
      <c r="M72" s="31" t="s">
        <v>59</v>
      </c>
      <c r="N72" s="33">
        <v>0</v>
      </c>
      <c r="O72" s="51" cm="1">
        <f t="array" aca="1" ref="O72" ca="1">IF(K72="SI",IF(N72&lt;&gt;0,(INDIRECT(M72)*N72)/L72,0),0)</f>
        <v>0</v>
      </c>
      <c r="P72" s="51" cm="1">
        <f t="array" aca="1" ref="P72" ca="1">IF(N72&lt;&gt;0,(INDIRECT(M72)*N72)/L72,0)</f>
        <v>0</v>
      </c>
      <c r="Q72" s="38">
        <v>3</v>
      </c>
    </row>
    <row r="73" spans="1:17" ht="21" hidden="1" outlineLevel="4">
      <c r="A73" s="43">
        <v>0</v>
      </c>
      <c r="B73" s="41" t="s">
        <v>38</v>
      </c>
      <c r="C73" s="41" t="s">
        <v>60</v>
      </c>
      <c r="D73" s="25" t="str">
        <f t="shared" ref="D73:D88" si="49">IFERROR(VLOOKUP(C73,Todos,2,FALSE),"")</f>
        <v></v>
      </c>
      <c r="E73" s="42" t="s">
        <v>147</v>
      </c>
      <c r="F73" s="43">
        <v>30</v>
      </c>
      <c r="G73" s="28">
        <f t="shared" si="35"/>
        <v>45196.75</v>
      </c>
      <c r="H73" s="28">
        <f t="shared" si="20"/>
        <v>45196.770833333336</v>
      </c>
      <c r="I73" s="29" t="s">
        <v>148</v>
      </c>
      <c r="J73" s="30">
        <v>2.4</v>
      </c>
      <c r="K73" s="31"/>
      <c r="L73" s="32"/>
      <c r="M73" s="31"/>
      <c r="N73" s="33"/>
      <c r="O73" s="51" cm="1">
        <f t="array" aca="1" ref="O73" ca="1">IF(K73="SI",IF(N73&lt;&gt;0,(INDIRECT(M73)*N73)/L73,0),0)</f>
        <v>0</v>
      </c>
      <c r="P73" s="51" cm="1">
        <f t="array" aca="1" ref="P73" ca="1">IF(N73&lt;&gt;0,(INDIRECT(M73)*N73)/L73,0)</f>
        <v>0</v>
      </c>
      <c r="Q73" s="38">
        <v>3</v>
      </c>
    </row>
    <row r="74" spans="1:17" ht="21" hidden="1" outlineLevel="4">
      <c r="A74" s="43">
        <v>0</v>
      </c>
      <c r="B74" s="41" t="s">
        <v>71</v>
      </c>
      <c r="C74" s="41" t="s">
        <v>72</v>
      </c>
      <c r="D74" s="25" t="str">
        <f>IFERROR(VLOOKUP(C74,Todos,2,FALSE),"")</f>
        <v></v>
      </c>
      <c r="E74" s="42" t="s">
        <v>149</v>
      </c>
      <c r="F74" s="43">
        <v>60</v>
      </c>
      <c r="G74" s="28">
        <f t="shared" si="35"/>
        <v>45196.770833333336</v>
      </c>
      <c r="H74" s="28">
        <f t="shared" si="20"/>
        <v>45196.8125</v>
      </c>
      <c r="I74" s="29" t="s">
        <v>150</v>
      </c>
      <c r="J74" s="30"/>
      <c r="K74" s="31" t="s">
        <v>27</v>
      </c>
      <c r="L74" s="32">
        <v>1</v>
      </c>
      <c r="M74" s="31" t="s">
        <v>59</v>
      </c>
      <c r="N74" s="33">
        <v>0</v>
      </c>
      <c r="O74" s="51" cm="1">
        <f t="array" aca="1" ref="O74" ca="1">IF(K74="SI",IF(N74&lt;&gt;0,(INDIRECT(M74)*N74)/L74,0),0)</f>
        <v>0</v>
      </c>
      <c r="P74" s="51" cm="1">
        <f t="array" aca="1" ref="P74" ca="1">IF(N74&lt;&gt;0,(INDIRECT(M74)*N74)/L74,0)</f>
        <v>0</v>
      </c>
      <c r="Q74" s="38">
        <v>3</v>
      </c>
    </row>
    <row r="75" spans="1:17" hidden="1" outlineLevel="4">
      <c r="A75" s="43">
        <v>0</v>
      </c>
      <c r="B75" s="41" t="s">
        <v>38</v>
      </c>
      <c r="C75" s="41" t="s">
        <v>55</v>
      </c>
      <c r="D75" s="25" t="str">
        <f t="shared" ref="D75:D99" si="50">IFERROR(VLOOKUP(C75,Todos,2,FALSE),"")</f>
        <v></v>
      </c>
      <c r="E75" s="42" t="s">
        <v>151</v>
      </c>
      <c r="F75" s="43">
        <v>40</v>
      </c>
      <c r="G75" s="28">
        <f t="shared" si="35"/>
        <v>45196.8125</v>
      </c>
      <c r="H75" s="28">
        <f t="shared" si="20"/>
        <v>45196.840277777781</v>
      </c>
      <c r="I75" s="29" t="s">
        <v>152</v>
      </c>
      <c r="J75" s="30"/>
      <c r="K75" s="31" t="s">
        <v>58</v>
      </c>
      <c r="L75" s="32">
        <v>1</v>
      </c>
      <c r="M75" s="31" t="s">
        <v>59</v>
      </c>
      <c r="N75" s="33">
        <v>3.4</v>
      </c>
      <c r="O75" s="51" cm="1">
        <f t="array" aca="1" ref="O75" ca="1">IF(K75="SI",IF(N75&lt;&gt;0,(INDIRECT(M75)*N75)/L75,0),0)</f>
        <v>0</v>
      </c>
      <c r="P75" s="51" t="e" cm="1">
        <f t="array" aca="1" ref="P75" ca="1">IF(N75&lt;&gt;0,(INDIRECT(M75)*N75)/L75,0)</f>
        <v>#REF!</v>
      </c>
      <c r="Q75" s="38">
        <v>3</v>
      </c>
    </row>
    <row r="76" spans="1:17" hidden="1" outlineLevel="4">
      <c r="A76" s="43">
        <v>0</v>
      </c>
      <c r="B76" s="41" t="s">
        <v>38</v>
      </c>
      <c r="C76" s="41" t="s">
        <v>60</v>
      </c>
      <c r="D76" s="25" t="str">
        <f>IFERROR(VLOOKUP(C76,Todos,2,FALSE),"")</f>
        <v></v>
      </c>
      <c r="E76" s="42" t="s">
        <v>61</v>
      </c>
      <c r="F76" s="43">
        <v>10</v>
      </c>
      <c r="G76" s="28">
        <f t="shared" si="35"/>
        <v>45196.840277777781</v>
      </c>
      <c r="H76" s="28">
        <f t="shared" si="20"/>
        <v>45196.847222222226</v>
      </c>
      <c r="I76" s="29"/>
      <c r="J76" s="30">
        <v>0.8</v>
      </c>
      <c r="K76" s="31"/>
      <c r="L76" s="32"/>
      <c r="M76" s="31"/>
      <c r="N76" s="50"/>
      <c r="O76" s="51" cm="1">
        <f t="array" aca="1" ref="O76" ca="1">IF(K76="SI",IF(N76&lt;&gt;0,(INDIRECT(M76)*N76)/L76,0),0)</f>
        <v>0</v>
      </c>
      <c r="P76" s="51" cm="1">
        <f t="array" aca="1" ref="P76" ca="1">IF(N76&lt;&gt;0,(INDIRECT(M76)*N76)/L76,0)</f>
        <v>0</v>
      </c>
      <c r="Q76" s="38">
        <v>3</v>
      </c>
    </row>
    <row r="77" spans="1:17" hidden="1" outlineLevel="4">
      <c r="A77" s="43">
        <v>0</v>
      </c>
      <c r="B77" s="41" t="s">
        <v>24</v>
      </c>
      <c r="C77" s="41" t="s">
        <v>35</v>
      </c>
      <c r="D77" s="25" t="str">
        <f t="shared" ref="D77:D101" si="51">IFERROR(VLOOKUP(C77,Todos,2,FALSE),"")</f>
        <v></v>
      </c>
      <c r="E77" s="42" t="s">
        <v>111</v>
      </c>
      <c r="F77" s="43">
        <v>100</v>
      </c>
      <c r="G77" s="28">
        <f t="shared" si="35"/>
        <v>45196.847222222226</v>
      </c>
      <c r="H77" s="28">
        <f t="shared" si="20"/>
        <v>45196.916666666672</v>
      </c>
      <c r="I77" s="29"/>
      <c r="J77" s="30"/>
      <c r="K77" s="31"/>
      <c r="L77" s="32"/>
      <c r="M77" s="31"/>
      <c r="N77" s="33"/>
      <c r="O77" s="51" cm="1">
        <f t="array" aca="1" ref="O77" ca="1">IF(K77="SI",IF(N77&lt;&gt;0,(INDIRECT(M77)*N77)/L77,0),0)</f>
        <v>0</v>
      </c>
      <c r="P77" s="51" cm="1">
        <f t="array" aca="1" ref="P77" ca="1">IF(N77&lt;&gt;0,(INDIRECT(M77)*N77)/L77,0)</f>
        <v>0</v>
      </c>
      <c r="Q77" s="38">
        <v>3</v>
      </c>
    </row>
    <row r="78" spans="1:17" hidden="1" outlineLevel="4">
      <c r="A78" s="43">
        <v>0</v>
      </c>
      <c r="B78" s="41" t="s">
        <v>24</v>
      </c>
      <c r="C78" s="41" t="s">
        <v>37</v>
      </c>
      <c r="D78" s="25" t="str">
        <f t="shared" ref="D78:D102" si="52">IFERROR(VLOOKUP(C78,Todos,2,FALSE),"")</f>
        <v></v>
      </c>
      <c r="E78" s="42" t="s">
        <v>37</v>
      </c>
      <c r="F78" s="43">
        <v>120</v>
      </c>
      <c r="G78" s="28">
        <f>H77</f>
        <v>45196.916666666672</v>
      </c>
      <c r="H78" s="28">
        <f t="shared" si="20"/>
        <v>45197.000000000007</v>
      </c>
      <c r="I78" s="29"/>
      <c r="J78" s="30"/>
      <c r="K78" s="31"/>
      <c r="L78" s="32"/>
      <c r="M78" s="31"/>
      <c r="N78" s="33"/>
      <c r="O78" s="51" cm="1">
        <f t="array" aca="1" ref="O78" ca="1">IF(K78="SI",IF(N78&lt;&gt;0,(INDIRECT(M78)*N78)/L78,0),0)</f>
        <v>0</v>
      </c>
      <c r="P78" s="51" cm="1">
        <f t="array" aca="1" ref="P78" ca="1">IF(N78&lt;&gt;0,(INDIRECT(M78)*N78)/L78,0)</f>
        <v>0</v>
      </c>
      <c r="Q78" s="38">
        <v>3</v>
      </c>
    </row>
    <row r="79" spans="1:17" hidden="1" outlineLevel="3">
      <c r="A79" s="23">
        <v>0</v>
      </c>
      <c r="B79" s="41" t="s">
        <v>15</v>
      </c>
      <c r="C79" s="41" t="s">
        <v>22</v>
      </c>
      <c r="D79" s="25" t="str">
        <f t="shared" ref="D79:D103" si="53">IFERROR(VLOOKUP(C79,Todos,2,FALSE),"")</f>
        <v></v>
      </c>
      <c r="E79" s="39" t="s">
        <v>153</v>
      </c>
      <c r="F79" s="43">
        <f>SUM(F80:F102)</f>
        <v>1440</v>
      </c>
      <c r="G79" s="28">
        <f>H78</f>
        <v>45197.000000000007</v>
      </c>
      <c r="H79" s="28">
        <f t="shared" si="20"/>
        <v>45198.000000000007</v>
      </c>
      <c r="I79" s="29" t="str">
        <f>PROPER(TEXT(G79,"dddd"))</f>
        <v>Jueves</v>
      </c>
      <c r="J79" s="30">
        <f>SUM(J80:J102)</f>
        <v>10.1</v>
      </c>
      <c r="K79" s="31"/>
      <c r="L79" s="32"/>
      <c r="M79" s="31"/>
      <c r="N79" s="48"/>
      <c r="O79" s="49">
        <f ca="1">SUM(O80:O102)</f>
        <v>0</v>
      </c>
      <c r="P79" s="49" t="e">
        <f ca="1">SUM(P80:P102)</f>
        <v>#REF!</v>
      </c>
      <c r="Q79" s="38">
        <f>AVERAGE(Q80:Q102)</f>
        <v>3</v>
      </c>
    </row>
    <row r="80" spans="1:17" hidden="1" outlineLevel="4">
      <c r="A80" s="43">
        <v>0</v>
      </c>
      <c r="B80" s="41" t="s">
        <v>24</v>
      </c>
      <c r="C80" s="41" t="s">
        <v>37</v>
      </c>
      <c r="D80" s="25" t="str">
        <f t="shared" si="53"/>
        <v></v>
      </c>
      <c r="E80" s="42" t="s">
        <v>37</v>
      </c>
      <c r="F80" s="43">
        <v>410</v>
      </c>
      <c r="G80" s="28">
        <f>H78</f>
        <v>45197.000000000007</v>
      </c>
      <c r="H80" s="28">
        <f t="shared" si="20"/>
        <v>45197.284722222226</v>
      </c>
      <c r="I80" s="29"/>
      <c r="J80" s="30"/>
      <c r="K80" s="31"/>
      <c r="L80" s="32"/>
      <c r="M80" s="31"/>
      <c r="N80" s="33"/>
      <c r="O80" s="51" cm="1">
        <f t="array" aca="1" ref="O80" ca="1">IF(K80="SI",IF(N80&lt;&gt;0,(INDIRECT(M80)*N80)/L80,0),0)</f>
        <v>0</v>
      </c>
      <c r="P80" s="51" cm="1">
        <f t="array" aca="1" ref="P80" ca="1">IF(N80&lt;&gt;0,(INDIRECT(M80)*N80)/L80,0)</f>
        <v>0</v>
      </c>
      <c r="Q80" s="38">
        <v>3</v>
      </c>
    </row>
    <row r="81" spans="1:17" hidden="1" outlineLevel="4">
      <c r="A81" s="43">
        <v>0</v>
      </c>
      <c r="B81" s="41" t="s">
        <v>71</v>
      </c>
      <c r="C81" s="41" t="s">
        <v>75</v>
      </c>
      <c r="D81" s="25" t="str">
        <f t="shared" ref="D81:D105" si="54">IFERROR(VLOOKUP(C81,Todos,2,FALSE),"")</f>
        <v></v>
      </c>
      <c r="E81" s="42" t="s">
        <v>75</v>
      </c>
      <c r="F81" s="43">
        <v>60</v>
      </c>
      <c r="G81" s="28">
        <f>H80</f>
        <v>45197.284722222226</v>
      </c>
      <c r="H81" s="28">
        <f t="shared" si="20"/>
        <v>45197.326388888891</v>
      </c>
      <c r="I81" s="29" t="s">
        <v>76</v>
      </c>
      <c r="J81" s="30"/>
      <c r="K81" s="31" t="s">
        <v>27</v>
      </c>
      <c r="L81" s="32">
        <v>1</v>
      </c>
      <c r="M81" s="31" t="s">
        <v>59</v>
      </c>
      <c r="N81" s="33">
        <v>0</v>
      </c>
      <c r="O81" s="51" cm="1">
        <f t="array" aca="1" ref="O81" ca="1">IF(K81="SI",IF(N81&lt;&gt;0,(INDIRECT(M81)*N81)/L81,0),0)</f>
        <v>0</v>
      </c>
      <c r="P81" s="51" cm="1">
        <f t="array" aca="1" ref="P81" ca="1">IF(N81&lt;&gt;0,(INDIRECT(M81)*N81)/L81,0)</f>
        <v>0</v>
      </c>
      <c r="Q81" s="38">
        <v>3</v>
      </c>
    </row>
    <row r="82" spans="1:17" hidden="1" outlineLevel="4">
      <c r="A82" s="43">
        <v>0</v>
      </c>
      <c r="B82" s="41" t="s">
        <v>38</v>
      </c>
      <c r="C82" s="41" t="s">
        <v>60</v>
      </c>
      <c r="D82" s="25" t="str">
        <f>IFERROR(VLOOKUP(C82,Todos,2,FALSE),"")</f>
        <v></v>
      </c>
      <c r="E82" s="42" t="s">
        <v>113</v>
      </c>
      <c r="F82" s="43">
        <v>10</v>
      </c>
      <c r="G82" s="28">
        <f t="shared" ref="G82:G102" si="55">H81</f>
        <v>45197.326388888891</v>
      </c>
      <c r="H82" s="28">
        <f t="shared" si="20"/>
        <v>45197.333333333336</v>
      </c>
      <c r="I82" s="29"/>
      <c r="J82" s="30">
        <v>0.6</v>
      </c>
      <c r="K82" s="31"/>
      <c r="L82" s="32"/>
      <c r="M82" s="31"/>
      <c r="N82" s="50"/>
      <c r="O82" s="51" cm="1">
        <f t="array" aca="1" ref="O82" ca="1">IF(K82="SI",IF(N82&lt;&gt;0,(INDIRECT(M82)*N82)/L82,0),0)</f>
        <v>0</v>
      </c>
      <c r="P82" s="51" cm="1">
        <f t="array" aca="1" ref="P82" ca="1">IF(N82&lt;&gt;0,(INDIRECT(M82)*N82)/L82,0)</f>
        <v>0</v>
      </c>
      <c r="Q82" s="38">
        <v>3</v>
      </c>
    </row>
    <row r="83" spans="1:17" hidden="1" outlineLevel="4">
      <c r="A83" s="43">
        <v>0</v>
      </c>
      <c r="B83" s="41" t="s">
        <v>38</v>
      </c>
      <c r="C83" s="41" t="s">
        <v>55</v>
      </c>
      <c r="D83" s="25" t="str">
        <f t="shared" ref="D83:D105" si="56">IFERROR(VLOOKUP(C83,Todos,2,FALSE),"")</f>
        <v></v>
      </c>
      <c r="E83" s="42" t="s">
        <v>154</v>
      </c>
      <c r="F83" s="43">
        <v>30</v>
      </c>
      <c r="G83" s="28">
        <f t="shared" si="55"/>
        <v>45197.333333333336</v>
      </c>
      <c r="H83" s="28">
        <f t="shared" si="20"/>
        <v>45197.354166666672</v>
      </c>
      <c r="I83" s="29" t="s">
        <v>155</v>
      </c>
      <c r="J83" s="30"/>
      <c r="K83" s="31" t="s">
        <v>58</v>
      </c>
      <c r="L83" s="32">
        <v>1</v>
      </c>
      <c r="M83" s="31" t="s">
        <v>59</v>
      </c>
      <c r="N83" s="33">
        <v>3.4</v>
      </c>
      <c r="O83" s="51" cm="1">
        <f t="array" aca="1" ref="O83" ca="1">IF(K83="SI",IF(N83&lt;&gt;0,(INDIRECT(M83)*N83)/L83,0),0)</f>
        <v>0</v>
      </c>
      <c r="P83" s="51" t="e" cm="1">
        <f t="array" aca="1" ref="P83" ca="1">IF(N83&lt;&gt;0,(INDIRECT(M83)*N83)/L83,0)</f>
        <v>#REF!</v>
      </c>
      <c r="Q83" s="38">
        <v>3</v>
      </c>
    </row>
    <row r="84" spans="1:17" hidden="1" outlineLevel="4">
      <c r="A84" s="43">
        <v>0</v>
      </c>
      <c r="B84" s="41" t="s">
        <v>38</v>
      </c>
      <c r="C84" s="41" t="s">
        <v>60</v>
      </c>
      <c r="D84" s="25" t="str">
        <f t="shared" ref="D84:D106" si="57">IFERROR(VLOOKUP(C84,Todos,2,FALSE),"")</f>
        <v></v>
      </c>
      <c r="E84" s="42" t="s">
        <v>156</v>
      </c>
      <c r="F84" s="43">
        <v>20</v>
      </c>
      <c r="G84" s="28">
        <f t="shared" si="55"/>
        <v>45197.354166666672</v>
      </c>
      <c r="H84" s="28">
        <f t="shared" si="20"/>
        <v>45197.368055555562</v>
      </c>
      <c r="I84" s="29"/>
      <c r="J84" s="30">
        <v>1</v>
      </c>
      <c r="K84" s="31"/>
      <c r="L84" s="32"/>
      <c r="M84" s="31"/>
      <c r="N84" s="33"/>
      <c r="O84" s="51" cm="1">
        <f t="array" aca="1" ref="O84" ca="1">IF(K84="SI",IF(N84&lt;&gt;0,(INDIRECT(M84)*N84)/L84,0),0)</f>
        <v>0</v>
      </c>
      <c r="P84" s="51" cm="1">
        <f t="array" aca="1" ref="P84" ca="1">IF(N84&lt;&gt;0,(INDIRECT(M84)*N84)/L84,0)</f>
        <v>0</v>
      </c>
      <c r="Q84" s="38">
        <v>3</v>
      </c>
    </row>
    <row r="85" spans="1:17" hidden="1" outlineLevel="4">
      <c r="A85" s="43">
        <v>0</v>
      </c>
      <c r="B85" s="41" t="s">
        <v>62</v>
      </c>
      <c r="C85" s="41" t="s">
        <v>89</v>
      </c>
      <c r="D85" s="25" t="str">
        <f t="shared" ref="D85:D107" si="58">IFERROR(VLOOKUP(C85,Todos,2,FALSE),"")</f>
        <v></v>
      </c>
      <c r="E85" s="42" t="s">
        <v>157</v>
      </c>
      <c r="F85" s="43">
        <v>30</v>
      </c>
      <c r="G85" s="28">
        <f t="shared" si="55"/>
        <v>45197.368055555562</v>
      </c>
      <c r="H85" s="28">
        <f t="shared" si="20"/>
        <v>45197.388888888898</v>
      </c>
      <c r="I85" s="54" t="s">
        <v>158</v>
      </c>
      <c r="J85" s="30"/>
      <c r="K85" s="31" t="s">
        <v>27</v>
      </c>
      <c r="L85" s="32">
        <v>1</v>
      </c>
      <c r="M85" s="31" t="s">
        <v>59</v>
      </c>
      <c r="N85" s="33">
        <v>0</v>
      </c>
      <c r="O85" s="51" cm="1">
        <f t="array" aca="1" ref="O85" ca="1">IF(K85="SI",IF(N85&lt;&gt;0,(INDIRECT(M85)*N85)/L85,0),0)</f>
        <v>0</v>
      </c>
      <c r="P85" s="51" cm="1">
        <f t="array" aca="1" ref="P85" ca="1">IF(N85&lt;&gt;0,(INDIRECT(M85)*N85)/L85,0)</f>
        <v>0</v>
      </c>
      <c r="Q85" s="38">
        <v>3</v>
      </c>
    </row>
    <row r="86" spans="1:17" hidden="1" outlineLevel="4">
      <c r="A86" s="43">
        <v>0</v>
      </c>
      <c r="B86" s="41" t="s">
        <v>38</v>
      </c>
      <c r="C86" s="41" t="s">
        <v>60</v>
      </c>
      <c r="D86" s="25" t="str">
        <f t="shared" ref="D86:D108" si="59">IFERROR(VLOOKUP(C86,Todos,2,FALSE),"")</f>
        <v></v>
      </c>
      <c r="E86" s="42" t="s">
        <v>159</v>
      </c>
      <c r="F86" s="43">
        <v>10</v>
      </c>
      <c r="G86" s="28">
        <f t="shared" si="55"/>
        <v>45197.388888888898</v>
      </c>
      <c r="H86" s="28">
        <f t="shared" si="20"/>
        <v>45197.395833333343</v>
      </c>
      <c r="I86" s="29"/>
      <c r="J86" s="30">
        <v>0.5</v>
      </c>
      <c r="K86" s="31"/>
      <c r="L86" s="32"/>
      <c r="M86" s="31"/>
      <c r="N86" s="33"/>
      <c r="O86" s="51" cm="1">
        <f t="array" aca="1" ref="O86" ca="1">IF(K86="SI",IF(N86&lt;&gt;0,(INDIRECT(M86)*N86)/L86,0),0)</f>
        <v>0</v>
      </c>
      <c r="P86" s="51" cm="1">
        <f t="array" aca="1" ref="P86" ca="1">IF(N86&lt;&gt;0,(INDIRECT(M86)*N86)/L86,0)</f>
        <v>0</v>
      </c>
      <c r="Q86" s="38">
        <v>3</v>
      </c>
    </row>
    <row r="87" spans="1:17" ht="31.5" hidden="1" outlineLevel="4">
      <c r="A87" s="43">
        <v>0</v>
      </c>
      <c r="B87" s="41" t="s">
        <v>62</v>
      </c>
      <c r="C87" s="41" t="s">
        <v>89</v>
      </c>
      <c r="D87" s="25" t="str">
        <f t="shared" ref="D87:D109" si="60">IFERROR(VLOOKUP(C87,Todos,2,FALSE),"")</f>
        <v></v>
      </c>
      <c r="E87" s="42" t="s">
        <v>160</v>
      </c>
      <c r="F87" s="43">
        <v>180</v>
      </c>
      <c r="G87" s="28">
        <f t="shared" si="55"/>
        <v>45197.395833333343</v>
      </c>
      <c r="H87" s="28">
        <f t="shared" si="20"/>
        <v>45197.520833333343</v>
      </c>
      <c r="I87" s="29" t="s">
        <v>161</v>
      </c>
      <c r="J87" s="30">
        <v>2</v>
      </c>
      <c r="K87" s="31" t="s">
        <v>27</v>
      </c>
      <c r="L87" s="32">
        <v>1</v>
      </c>
      <c r="M87" s="31" t="s">
        <v>59</v>
      </c>
      <c r="N87" s="33">
        <v>0</v>
      </c>
      <c r="O87" s="51" cm="1">
        <f t="array" aca="1" ref="O87" ca="1">IF(K87="SI",IF(N87&lt;&gt;0,(INDIRECT(M87)*N87)/L87,0),0)</f>
        <v>0</v>
      </c>
      <c r="P87" s="51" cm="1">
        <f t="array" aca="1" ref="P87" ca="1">IF(N87&lt;&gt;0,(INDIRECT(M87)*N87)/L87,0)</f>
        <v>0</v>
      </c>
      <c r="Q87" s="38">
        <v>3</v>
      </c>
    </row>
    <row r="88" spans="1:17" hidden="1" outlineLevel="4">
      <c r="A88" s="43">
        <v>0</v>
      </c>
      <c r="B88" s="41" t="s">
        <v>38</v>
      </c>
      <c r="C88" s="41" t="s">
        <v>60</v>
      </c>
      <c r="D88" s="25" t="str">
        <f t="shared" ref="D88:D110" si="61">IFERROR(VLOOKUP(C88,Todos,2,FALSE),"")</f>
        <v></v>
      </c>
      <c r="E88" s="42" t="s">
        <v>162</v>
      </c>
      <c r="F88" s="43">
        <v>20</v>
      </c>
      <c r="G88" s="28">
        <f t="shared" si="55"/>
        <v>45197.520833333343</v>
      </c>
      <c r="H88" s="28">
        <f t="shared" si="20"/>
        <v>45197.534722222234</v>
      </c>
      <c r="I88" s="29"/>
      <c r="J88" s="30">
        <v>0.9</v>
      </c>
      <c r="K88" s="31"/>
      <c r="L88" s="32"/>
      <c r="M88" s="31"/>
      <c r="N88" s="33"/>
      <c r="O88" s="51" cm="1">
        <f t="array" aca="1" ref="O88" ca="1">IF(K88="SI",IF(N88&lt;&gt;0,(INDIRECT(M88)*N88)/L88,0),0)</f>
        <v>0</v>
      </c>
      <c r="P88" s="51" cm="1">
        <f t="array" aca="1" ref="P88" ca="1">IF(N88&lt;&gt;0,(INDIRECT(M88)*N88)/L88,0)</f>
        <v>0</v>
      </c>
      <c r="Q88" s="38">
        <v>3</v>
      </c>
    </row>
    <row r="89" spans="1:17" hidden="1" outlineLevel="4">
      <c r="A89" s="43">
        <v>0</v>
      </c>
      <c r="B89" s="41" t="s">
        <v>71</v>
      </c>
      <c r="C89" s="41" t="s">
        <v>95</v>
      </c>
      <c r="D89" s="25" t="str">
        <f>IFERROR(VLOOKUP(C89,Todos,2,FALSE),"")</f>
        <v></v>
      </c>
      <c r="E89" s="42" t="s">
        <v>163</v>
      </c>
      <c r="F89" s="43">
        <v>60</v>
      </c>
      <c r="G89" s="28">
        <f t="shared" si="55"/>
        <v>45197.534722222234</v>
      </c>
      <c r="H89" s="28">
        <f t="shared" si="20"/>
        <v>45197.576388888898</v>
      </c>
      <c r="I89" s="29" t="s">
        <v>164</v>
      </c>
      <c r="J89" s="30"/>
      <c r="K89" s="31" t="s">
        <v>58</v>
      </c>
      <c r="L89" s="32">
        <v>1</v>
      </c>
      <c r="M89" s="31" t="s">
        <v>59</v>
      </c>
      <c r="N89" s="33">
        <v>20</v>
      </c>
      <c r="O89" s="51" cm="1">
        <f t="array" aca="1" ref="O89" ca="1">IF(K89="SI",IF(N89&lt;&gt;0,(INDIRECT(M89)*N89)/L89,0),0)</f>
        <v>0</v>
      </c>
      <c r="P89" s="51" t="e" cm="1">
        <f t="array" aca="1" ref="P89" ca="1">IF(N89&lt;&gt;0,(INDIRECT(M89)*N89)/L89,0)</f>
        <v>#REF!</v>
      </c>
      <c r="Q89" s="38">
        <v>3</v>
      </c>
    </row>
    <row r="90" spans="1:17" hidden="1" outlineLevel="4">
      <c r="A90" s="43">
        <v>0</v>
      </c>
      <c r="B90" s="41" t="s">
        <v>62</v>
      </c>
      <c r="C90" s="41" t="s">
        <v>135</v>
      </c>
      <c r="D90" s="25" t="str">
        <f t="shared" ref="D90:D119" si="62">IFERROR(VLOOKUP(C90,Todos,2,FALSE),"")</f>
        <v></v>
      </c>
      <c r="E90" s="42" t="s">
        <v>165</v>
      </c>
      <c r="F90" s="43">
        <v>40</v>
      </c>
      <c r="G90" s="28">
        <f t="shared" si="55"/>
        <v>45197.576388888898</v>
      </c>
      <c r="H90" s="28">
        <f t="shared" si="20"/>
        <v>45197.604166666679</v>
      </c>
      <c r="I90" s="29" t="s">
        <v>166</v>
      </c>
      <c r="J90" s="30"/>
      <c r="K90" s="31" t="s">
        <v>27</v>
      </c>
      <c r="L90" s="32">
        <v>1</v>
      </c>
      <c r="M90" s="31" t="s">
        <v>59</v>
      </c>
      <c r="N90" s="33">
        <v>0</v>
      </c>
      <c r="O90" s="51" cm="1">
        <f t="array" aca="1" ref="O90" ca="1">IF(K90="SI",IF(N90&lt;&gt;0,(INDIRECT(M90)*N90)/L90,0),0)</f>
        <v>0</v>
      </c>
      <c r="P90" s="51" cm="1">
        <f t="array" aca="1" ref="P90" ca="1">IF(N90&lt;&gt;0,(INDIRECT(M90)*N90)/L90,0)</f>
        <v>0</v>
      </c>
      <c r="Q90" s="38">
        <v>3</v>
      </c>
    </row>
    <row r="91" spans="1:17" hidden="1" outlineLevel="4">
      <c r="A91" s="43">
        <v>0</v>
      </c>
      <c r="B91" s="41" t="s">
        <v>38</v>
      </c>
      <c r="C91" s="41" t="s">
        <v>60</v>
      </c>
      <c r="D91" s="25" t="str">
        <f t="shared" ref="D91:D120" si="63">IFERROR(VLOOKUP(C91,Todos,2,FALSE),"")</f>
        <v></v>
      </c>
      <c r="E91" s="42" t="s">
        <v>167</v>
      </c>
      <c r="F91" s="43">
        <v>20</v>
      </c>
      <c r="G91" s="28">
        <f t="shared" si="55"/>
        <v>45197.604166666679</v>
      </c>
      <c r="H91" s="28">
        <f t="shared" si="20"/>
        <v>45197.618055555569</v>
      </c>
      <c r="I91" s="29"/>
      <c r="J91" s="30">
        <v>1.2</v>
      </c>
      <c r="K91" s="31"/>
      <c r="L91" s="32"/>
      <c r="M91" s="31"/>
      <c r="N91" s="33"/>
      <c r="O91" s="51" cm="1">
        <f t="array" aca="1" ref="O91" ca="1">IF(K91="SI",IF(N91&lt;&gt;0,(INDIRECT(M91)*N91)/L91,0),0)</f>
        <v>0</v>
      </c>
      <c r="P91" s="51" cm="1">
        <f t="array" aca="1" ref="P91" ca="1">IF(N91&lt;&gt;0,(INDIRECT(M91)*N91)/L91,0)</f>
        <v>0</v>
      </c>
      <c r="Q91" s="38">
        <v>3</v>
      </c>
    </row>
    <row r="92" spans="1:17" ht="31.5" hidden="1" outlineLevel="4">
      <c r="A92" s="43">
        <v>0</v>
      </c>
      <c r="B92" s="41" t="s">
        <v>62</v>
      </c>
      <c r="C92" s="41" t="s">
        <v>119</v>
      </c>
      <c r="D92" s="25" t="str">
        <f t="shared" ref="D92:D121" si="64">IFERROR(VLOOKUP(C92,Todos,2,FALSE),"")</f>
        <v></v>
      </c>
      <c r="E92" s="42" t="s">
        <v>168</v>
      </c>
      <c r="F92" s="43">
        <v>100</v>
      </c>
      <c r="G92" s="28">
        <f t="shared" si="55"/>
        <v>45197.618055555569</v>
      </c>
      <c r="H92" s="28">
        <f t="shared" si="20"/>
        <v>45197.687500000015</v>
      </c>
      <c r="I92" s="29" t="s">
        <v>169</v>
      </c>
      <c r="J92" s="30">
        <v>1</v>
      </c>
      <c r="K92" s="31" t="s">
        <v>27</v>
      </c>
      <c r="L92" s="32">
        <v>1</v>
      </c>
      <c r="M92" s="31" t="s">
        <v>59</v>
      </c>
      <c r="N92" s="33">
        <v>0</v>
      </c>
      <c r="O92" s="51" cm="1">
        <f t="array" aca="1" ref="O92" ca="1">IF(K92="SI",IF(N92&lt;&gt;0,(INDIRECT(M92)*N92)/L92,0),0)</f>
        <v>0</v>
      </c>
      <c r="P92" s="51" cm="1">
        <f t="array" aca="1" ref="P92" ca="1">IF(N92&lt;&gt;0,(INDIRECT(M92)*N92)/L92,0)</f>
        <v>0</v>
      </c>
      <c r="Q92" s="38">
        <v>3</v>
      </c>
    </row>
    <row r="93" spans="1:17" hidden="1" outlineLevel="4">
      <c r="A93" s="43">
        <v>0</v>
      </c>
      <c r="B93" s="41" t="s">
        <v>38</v>
      </c>
      <c r="C93" s="41" t="s">
        <v>60</v>
      </c>
      <c r="D93" s="25" t="str">
        <f t="shared" ref="D93:D122" si="65">IFERROR(VLOOKUP(C93,Todos,2,FALSE),"")</f>
        <v></v>
      </c>
      <c r="E93" s="42" t="s">
        <v>170</v>
      </c>
      <c r="F93" s="43">
        <v>40</v>
      </c>
      <c r="G93" s="28">
        <f t="shared" si="55"/>
        <v>45197.687500000015</v>
      </c>
      <c r="H93" s="28">
        <f t="shared" si="20"/>
        <v>45197.715277777796</v>
      </c>
      <c r="I93" s="29"/>
      <c r="J93" s="30">
        <v>2.2999999999999998</v>
      </c>
      <c r="K93" s="31"/>
      <c r="L93" s="32"/>
      <c r="M93" s="31"/>
      <c r="N93" s="33"/>
      <c r="O93" s="51" cm="1">
        <f t="array" aca="1" ref="O93" ca="1">IF(K93="SI",IF(N93&lt;&gt;0,(INDIRECT(M93)*N93)/L93,0),0)</f>
        <v>0</v>
      </c>
      <c r="P93" s="51" cm="1">
        <f t="array" aca="1" ref="P93" ca="1">IF(N93&lt;&gt;0,(INDIRECT(M93)*N93)/L93,0)</f>
        <v>0</v>
      </c>
      <c r="Q93" s="38">
        <v>3</v>
      </c>
    </row>
    <row r="94" spans="1:17" hidden="1" outlineLevel="4">
      <c r="A94" s="43">
        <v>0</v>
      </c>
      <c r="B94" s="41" t="s">
        <v>62</v>
      </c>
      <c r="C94" s="41" t="s">
        <v>171</v>
      </c>
      <c r="D94" s="25" t="str">
        <f t="shared" ref="D94:D123" si="66">IFERROR(VLOOKUP(C94,Todos,2,FALSE),"")</f>
        <v></v>
      </c>
      <c r="E94" s="42" t="s">
        <v>172</v>
      </c>
      <c r="F94" s="43">
        <v>10</v>
      </c>
      <c r="G94" s="28">
        <f t="shared" si="55"/>
        <v>45197.715277777796</v>
      </c>
      <c r="H94" s="28">
        <f t="shared" si="20"/>
        <v>45197.722222222241</v>
      </c>
      <c r="I94" s="29" t="s">
        <v>173</v>
      </c>
      <c r="J94" s="30"/>
      <c r="K94" s="31" t="s">
        <v>27</v>
      </c>
      <c r="L94" s="32">
        <v>1</v>
      </c>
      <c r="M94" s="31" t="s">
        <v>59</v>
      </c>
      <c r="N94" s="33">
        <v>0</v>
      </c>
      <c r="O94" s="51" cm="1">
        <f t="array" aca="1" ref="O94" ca="1">IF(K94="SI",IF(N94&lt;&gt;0,(INDIRECT(M94)*N94)/L94,0),0)</f>
        <v>0</v>
      </c>
      <c r="P94" s="51" cm="1">
        <f t="array" aca="1" ref="P94" ca="1">IF(N94&lt;&gt;0,(INDIRECT(M94)*N94)/L94,0)</f>
        <v>0</v>
      </c>
      <c r="Q94" s="38">
        <v>3</v>
      </c>
    </row>
    <row r="95" spans="1:17" hidden="1" outlineLevel="4">
      <c r="A95" s="43">
        <v>0</v>
      </c>
      <c r="B95" s="41" t="s">
        <v>38</v>
      </c>
      <c r="C95" s="41" t="s">
        <v>60</v>
      </c>
      <c r="D95" s="25" t="str">
        <f t="shared" ref="D95:D124" si="67">IFERROR(VLOOKUP(C95,Todos,2,FALSE),"")</f>
        <v></v>
      </c>
      <c r="E95" s="42" t="s">
        <v>174</v>
      </c>
      <c r="F95" s="43">
        <v>10</v>
      </c>
      <c r="G95" s="28">
        <f t="shared" si="55"/>
        <v>45197.722222222241</v>
      </c>
      <c r="H95" s="28">
        <f t="shared" si="20"/>
        <v>45197.729166666686</v>
      </c>
      <c r="I95" s="29"/>
      <c r="J95" s="30">
        <v>0.6</v>
      </c>
      <c r="K95" s="31"/>
      <c r="L95" s="32"/>
      <c r="M95" s="31"/>
      <c r="N95" s="33"/>
      <c r="O95" s="51" cm="1">
        <f t="array" aca="1" ref="O95" ca="1">IF(K95="SI",IF(N95&lt;&gt;0,(INDIRECT(M95)*N95)/L95,0),0)</f>
        <v>0</v>
      </c>
      <c r="P95" s="51" cm="1">
        <f t="array" aca="1" ref="P95" ca="1">IF(N95&lt;&gt;0,(INDIRECT(M95)*N95)/L95,0)</f>
        <v>0</v>
      </c>
      <c r="Q95" s="38">
        <v>3</v>
      </c>
    </row>
    <row r="96" spans="1:17" hidden="1" outlineLevel="4">
      <c r="A96" s="43">
        <v>0</v>
      </c>
      <c r="B96" s="41" t="s">
        <v>62</v>
      </c>
      <c r="C96" s="41" t="s">
        <v>175</v>
      </c>
      <c r="D96" s="25" t="str">
        <f t="shared" ref="D96:D125" si="68">IFERROR(VLOOKUP(C96,Todos,2,FALSE),"")</f>
        <v></v>
      </c>
      <c r="E96" s="42" t="s">
        <v>176</v>
      </c>
      <c r="F96" s="43">
        <v>10</v>
      </c>
      <c r="G96" s="28">
        <f t="shared" si="55"/>
        <v>45197.729166666686</v>
      </c>
      <c r="H96" s="28">
        <f t="shared" ref="H96:H150" si="69">G96+(F96/24)/60</f>
        <v>45197.736111111131</v>
      </c>
      <c r="I96" s="29" t="s">
        <v>177</v>
      </c>
      <c r="J96" s="30"/>
      <c r="K96" s="31" t="s">
        <v>27</v>
      </c>
      <c r="L96" s="32">
        <v>1</v>
      </c>
      <c r="M96" s="31" t="s">
        <v>59</v>
      </c>
      <c r="N96" s="33">
        <v>0</v>
      </c>
      <c r="O96" s="51" cm="1">
        <f t="array" aca="1" ref="O96" ca="1">IF(K96="SI",IF(N96&lt;&gt;0,(INDIRECT(M96)*N96)/L96,0),0)</f>
        <v>0</v>
      </c>
      <c r="P96" s="51" cm="1">
        <f t="array" aca="1" ref="P96" ca="1">IF(N96&lt;&gt;0,(INDIRECT(M96)*N96)/L96,0)</f>
        <v>0</v>
      </c>
      <c r="Q96" s="38">
        <v>3</v>
      </c>
    </row>
    <row r="97" spans="1:17" hidden="1" outlineLevel="4">
      <c r="A97" s="43">
        <v>0</v>
      </c>
      <c r="B97" s="41" t="s">
        <v>38</v>
      </c>
      <c r="C97" s="41" t="s">
        <v>178</v>
      </c>
      <c r="D97" s="25" t="str">
        <f t="shared" ref="D97:D126" si="70">IFERROR(VLOOKUP(C97,Todos,2,FALSE),"")</f>
        <v></v>
      </c>
      <c r="E97" s="42" t="s">
        <v>179</v>
      </c>
      <c r="F97" s="43">
        <v>50</v>
      </c>
      <c r="G97" s="28">
        <f t="shared" si="55"/>
        <v>45197.736111111131</v>
      </c>
      <c r="H97" s="28">
        <f t="shared" si="69"/>
        <v>45197.77083333335</v>
      </c>
      <c r="I97" s="29" t="s">
        <v>180</v>
      </c>
      <c r="J97" s="30"/>
      <c r="K97" s="31" t="s">
        <v>58</v>
      </c>
      <c r="L97" s="32">
        <v>1</v>
      </c>
      <c r="M97" s="31" t="s">
        <v>59</v>
      </c>
      <c r="N97" s="33">
        <v>8.6</v>
      </c>
      <c r="O97" s="51" cm="1">
        <f t="array" aca="1" ref="O97" ca="1">IF(K97="SI",IF(N97&lt;&gt;0,(INDIRECT(M97)*N97)/L97,0),0)</f>
        <v>0</v>
      </c>
      <c r="P97" s="51" t="e" cm="1">
        <f t="array" aca="1" ref="P97" ca="1">IF(N97&lt;&gt;0,(INDIRECT(M97)*N97)/L97,0)</f>
        <v>#REF!</v>
      </c>
      <c r="Q97" s="38">
        <v>3</v>
      </c>
    </row>
    <row r="98" spans="1:17" hidden="1" outlineLevel="4">
      <c r="A98" s="43">
        <v>0</v>
      </c>
      <c r="B98" s="41" t="s">
        <v>62</v>
      </c>
      <c r="C98" s="41" t="s">
        <v>175</v>
      </c>
      <c r="D98" s="25" t="str">
        <f t="shared" ref="D98:D127" si="71">IFERROR(VLOOKUP(C98,Todos,2,FALSE),"")</f>
        <v></v>
      </c>
      <c r="E98" s="42" t="s">
        <v>181</v>
      </c>
      <c r="F98" s="43">
        <v>30</v>
      </c>
      <c r="G98" s="28">
        <f t="shared" si="55"/>
        <v>45197.77083333335</v>
      </c>
      <c r="H98" s="28">
        <f t="shared" si="69"/>
        <v>45197.791666666686</v>
      </c>
      <c r="I98" s="29" t="s">
        <v>182</v>
      </c>
      <c r="J98" s="30"/>
      <c r="K98" s="31" t="s">
        <v>27</v>
      </c>
      <c r="L98" s="32">
        <v>1</v>
      </c>
      <c r="M98" s="31" t="s">
        <v>59</v>
      </c>
      <c r="N98" s="33">
        <v>0</v>
      </c>
      <c r="O98" s="51">
        <v>0</v>
      </c>
      <c r="P98" s="51">
        <v>0</v>
      </c>
      <c r="Q98" s="38">
        <v>3</v>
      </c>
    </row>
    <row r="99" spans="1:17" hidden="1" outlineLevel="4">
      <c r="A99" s="43">
        <v>0</v>
      </c>
      <c r="B99" s="41" t="s">
        <v>71</v>
      </c>
      <c r="C99" s="41" t="s">
        <v>72</v>
      </c>
      <c r="D99" s="25" t="str">
        <f t="shared" si="71"/>
        <v></v>
      </c>
      <c r="E99" s="42" t="s">
        <v>183</v>
      </c>
      <c r="F99" s="43">
        <v>60</v>
      </c>
      <c r="G99" s="28">
        <f t="shared" si="55"/>
        <v>45197.791666666686</v>
      </c>
      <c r="H99" s="28">
        <f t="shared" si="69"/>
        <v>45197.83333333335</v>
      </c>
      <c r="I99" s="29" t="s">
        <v>184</v>
      </c>
      <c r="J99" s="30"/>
      <c r="K99" s="31" t="s">
        <v>58</v>
      </c>
      <c r="L99" s="32">
        <v>1</v>
      </c>
      <c r="M99" s="31" t="s">
        <v>59</v>
      </c>
      <c r="N99" s="33">
        <v>15</v>
      </c>
      <c r="O99" s="51" cm="1">
        <f t="array" aca="1" ref="O99" ca="1">IF(K99="SI",IF(N99&lt;&gt;0,(INDIRECT(M99)*N99)/L99,0),0)</f>
        <v>0</v>
      </c>
      <c r="P99" s="51" t="e" cm="1">
        <f t="array" aca="1" ref="P99" ca="1">IF(N99&lt;&gt;0,(INDIRECT(M99)*N99)/L99,0)</f>
        <v>#REF!</v>
      </c>
      <c r="Q99" s="38">
        <v>3</v>
      </c>
    </row>
    <row r="100" spans="1:17" hidden="1" outlineLevel="4">
      <c r="A100" s="43">
        <v>0</v>
      </c>
      <c r="B100" s="41" t="s">
        <v>38</v>
      </c>
      <c r="C100" s="41" t="s">
        <v>77</v>
      </c>
      <c r="D100" s="25" t="str">
        <f t="shared" ref="D100:D129" si="72">IFERROR(VLOOKUP(C100,Todos,2,FALSE),"")</f>
        <v></v>
      </c>
      <c r="E100" s="42" t="s">
        <v>185</v>
      </c>
      <c r="F100" s="43">
        <v>30</v>
      </c>
      <c r="G100" s="28">
        <f t="shared" si="55"/>
        <v>45197.83333333335</v>
      </c>
      <c r="H100" s="28">
        <f t="shared" si="69"/>
        <v>45197.854166666686</v>
      </c>
      <c r="I100" s="29" t="s">
        <v>186</v>
      </c>
      <c r="J100" s="30"/>
      <c r="K100" s="31" t="s">
        <v>58</v>
      </c>
      <c r="L100" s="32">
        <v>1</v>
      </c>
      <c r="M100" s="31" t="s">
        <v>59</v>
      </c>
      <c r="N100" s="33">
        <v>1.75</v>
      </c>
      <c r="O100" s="51" cm="1">
        <f t="array" aca="1" ref="O100" ca="1">IF(K100="SI",IF(N100&lt;&gt;0,(INDIRECT(M100)*N100)/L100,0),0)</f>
        <v>0</v>
      </c>
      <c r="P100" s="51" t="e" cm="1">
        <f t="array" aca="1" ref="P100" ca="1">IF(N100&lt;&gt;0,(INDIRECT(M100)*N100)/L100,0)</f>
        <v>#REF!</v>
      </c>
      <c r="Q100" s="38">
        <v>3</v>
      </c>
    </row>
    <row r="101" spans="1:17" hidden="1" outlineLevel="4">
      <c r="A101" s="43">
        <v>0</v>
      </c>
      <c r="B101" s="41" t="s">
        <v>24</v>
      </c>
      <c r="C101" s="41" t="s">
        <v>35</v>
      </c>
      <c r="D101" s="25" t="str">
        <f t="shared" ref="D101:D130" si="73">IFERROR(VLOOKUP(C101,Todos,2,FALSE),"")</f>
        <v></v>
      </c>
      <c r="E101" s="42" t="s">
        <v>111</v>
      </c>
      <c r="F101" s="43">
        <v>90</v>
      </c>
      <c r="G101" s="28">
        <f t="shared" si="55"/>
        <v>45197.854166666686</v>
      </c>
      <c r="H101" s="28">
        <f t="shared" si="69"/>
        <v>45197.916666666686</v>
      </c>
      <c r="I101" s="29"/>
      <c r="J101" s="30"/>
      <c r="K101" s="31"/>
      <c r="L101" s="32"/>
      <c r="M101" s="31"/>
      <c r="N101" s="33"/>
      <c r="O101" s="51" cm="1">
        <f t="array" aca="1" ref="O101" ca="1">IF(K101="SI",IF(N101&lt;&gt;0,(INDIRECT(M101)*N101)/L101,0),0)</f>
        <v>0</v>
      </c>
      <c r="P101" s="51" cm="1">
        <f t="array" aca="1" ref="P101" ca="1">IF(N101&lt;&gt;0,(INDIRECT(M101)*N101)/L101,0)</f>
        <v>0</v>
      </c>
      <c r="Q101" s="38">
        <v>3</v>
      </c>
    </row>
    <row r="102" spans="1:17" hidden="1" outlineLevel="4">
      <c r="A102" s="43">
        <v>0</v>
      </c>
      <c r="B102" s="41" t="s">
        <v>24</v>
      </c>
      <c r="C102" s="41" t="s">
        <v>37</v>
      </c>
      <c r="D102" s="25" t="str">
        <f t="shared" ref="D102:D131" si="74">IFERROR(VLOOKUP(C102,Todos,2,FALSE),"")</f>
        <v></v>
      </c>
      <c r="E102" s="42" t="s">
        <v>37</v>
      </c>
      <c r="F102" s="43">
        <v>120</v>
      </c>
      <c r="G102" s="28">
        <f t="shared" si="55"/>
        <v>45197.916666666686</v>
      </c>
      <c r="H102" s="28">
        <f t="shared" si="69"/>
        <v>45198.000000000022</v>
      </c>
      <c r="I102" s="29"/>
      <c r="J102" s="30"/>
      <c r="K102" s="31"/>
      <c r="L102" s="32"/>
      <c r="M102" s="31"/>
      <c r="N102" s="33"/>
      <c r="O102" s="51" cm="1">
        <f t="array" aca="1" ref="O102" ca="1">IF(K102="SI",IF(N102&lt;&gt;0,(INDIRECT(M102)*N102)/L102,0),0)</f>
        <v>0</v>
      </c>
      <c r="P102" s="51" cm="1">
        <f t="array" aca="1" ref="P102" ca="1">IF(N102&lt;&gt;0,(INDIRECT(M102)*N102)/L102,0)</f>
        <v>0</v>
      </c>
      <c r="Q102" s="38">
        <v>3</v>
      </c>
    </row>
    <row r="103" spans="1:17" hidden="1" outlineLevel="3">
      <c r="A103" s="23">
        <v>0</v>
      </c>
      <c r="B103" s="41" t="s">
        <v>15</v>
      </c>
      <c r="C103" s="41" t="s">
        <v>22</v>
      </c>
      <c r="D103" s="25" t="str">
        <f t="shared" ref="D103:D132" si="75">IFERROR(VLOOKUP(C103,Todos,2,FALSE),"")</f>
        <v></v>
      </c>
      <c r="E103" s="39" t="s">
        <v>187</v>
      </c>
      <c r="F103" s="43">
        <f>SUM(F104:F110)</f>
        <v>645</v>
      </c>
      <c r="G103" s="28">
        <f>H102</f>
        <v>45198.000000000022</v>
      </c>
      <c r="H103" s="28">
        <f t="shared" si="69"/>
        <v>45198.447916666686</v>
      </c>
      <c r="I103" s="29" t="str">
        <f>PROPER(TEXT(G103,"dddd"))</f>
        <v>Viernes</v>
      </c>
      <c r="J103" s="30">
        <f>SUM(J104:J110)</f>
        <v>1</v>
      </c>
      <c r="K103" s="31"/>
      <c r="L103" s="32"/>
      <c r="M103" s="31"/>
      <c r="N103" s="48"/>
      <c r="O103" s="51" t="e">
        <f ca="1">SUM(O104:O110)</f>
        <v>#REF!</v>
      </c>
      <c r="P103" s="51" t="e">
        <f ca="1">SUM(P104:P110)</f>
        <v>#REF!</v>
      </c>
      <c r="Q103" s="38">
        <f>AVERAGE(Q104:Q110)</f>
        <v>3</v>
      </c>
    </row>
    <row r="104" spans="1:17" hidden="1" outlineLevel="4">
      <c r="A104" s="23">
        <v>0</v>
      </c>
      <c r="B104" s="41" t="s">
        <v>24</v>
      </c>
      <c r="C104" s="41" t="s">
        <v>37</v>
      </c>
      <c r="D104" s="25" t="str">
        <f t="shared" si="75"/>
        <v></v>
      </c>
      <c r="E104" s="42" t="s">
        <v>37</v>
      </c>
      <c r="F104" s="43">
        <v>350</v>
      </c>
      <c r="G104" s="28">
        <f>H102</f>
        <v>45198.000000000022</v>
      </c>
      <c r="H104" s="28">
        <f t="shared" si="69"/>
        <v>45198.243055555577</v>
      </c>
      <c r="I104" s="29"/>
      <c r="J104" s="30"/>
      <c r="K104" s="31"/>
      <c r="L104" s="32"/>
      <c r="M104" s="31"/>
      <c r="N104" s="33"/>
      <c r="O104" s="51" cm="1">
        <f t="array" aca="1" ref="O104" ca="1">IF(K104="SI",IF(N104&lt;&gt;0,(INDIRECT(M104)*N104)/L104,0),0)</f>
        <v>0</v>
      </c>
      <c r="P104" s="51" cm="1">
        <f t="array" aca="1" ref="P104" ca="1">IF(N104&lt;&gt;0,(INDIRECT(M104)*N104)/L104,0)</f>
        <v>0</v>
      </c>
      <c r="Q104" s="38">
        <v>3</v>
      </c>
    </row>
    <row r="105" spans="1:17" hidden="1" outlineLevel="4">
      <c r="A105" s="23">
        <v>0</v>
      </c>
      <c r="B105" s="41" t="s">
        <v>71</v>
      </c>
      <c r="C105" s="41" t="s">
        <v>75</v>
      </c>
      <c r="D105" s="25" t="str">
        <f t="shared" ref="D105:D134" si="76">IFERROR(VLOOKUP(C105,Todos,2,FALSE),"")</f>
        <v></v>
      </c>
      <c r="E105" s="42" t="s">
        <v>75</v>
      </c>
      <c r="F105" s="43">
        <v>30</v>
      </c>
      <c r="G105" s="28">
        <f>H104</f>
        <v>45198.243055555577</v>
      </c>
      <c r="H105" s="28">
        <f t="shared" si="69"/>
        <v>45198.263888888912</v>
      </c>
      <c r="I105" s="29" t="s">
        <v>76</v>
      </c>
      <c r="J105" s="30"/>
      <c r="K105" s="31" t="s">
        <v>27</v>
      </c>
      <c r="L105" s="32">
        <v>1</v>
      </c>
      <c r="M105" s="31" t="s">
        <v>59</v>
      </c>
      <c r="N105" s="33">
        <v>0</v>
      </c>
      <c r="O105" s="51" cm="1">
        <f t="array" aca="1" ref="O105" ca="1">IF(K105="SI",IF(N105&lt;&gt;0,(INDIRECT(M105)*N105)/L105,0),0)</f>
        <v>0</v>
      </c>
      <c r="P105" s="51" cm="1">
        <f t="array" aca="1" ref="P105" ca="1">IF(N105&lt;&gt;0,(INDIRECT(M105)*N105)/L105,0)</f>
        <v>0</v>
      </c>
      <c r="Q105" s="38">
        <v>3</v>
      </c>
    </row>
    <row r="106" spans="1:17" hidden="1" outlineLevel="4">
      <c r="A106" s="23">
        <v>0</v>
      </c>
      <c r="B106" s="41" t="s">
        <v>24</v>
      </c>
      <c r="C106" s="41" t="s">
        <v>25</v>
      </c>
      <c r="D106" s="25" t="str">
        <f t="shared" ref="D106:D135" si="77">IFERROR(VLOOKUP(C106,Todos,2,FALSE),"")</f>
        <v></v>
      </c>
      <c r="E106" s="42" t="s">
        <v>188</v>
      </c>
      <c r="F106" s="43">
        <v>10</v>
      </c>
      <c r="G106" s="28">
        <f t="shared" ref="G106:G111" si="78">H105</f>
        <v>45198.263888888912</v>
      </c>
      <c r="H106" s="28">
        <f t="shared" si="69"/>
        <v>45198.270833333358</v>
      </c>
      <c r="I106" s="29" t="s">
        <v>189</v>
      </c>
      <c r="J106" s="30"/>
      <c r="K106" s="31"/>
      <c r="L106" s="32"/>
      <c r="M106" s="31"/>
      <c r="N106" s="33"/>
      <c r="O106" s="51" cm="1">
        <f t="array" aca="1" ref="O106" ca="1">IF(K106="SI",IF(N106&lt;&gt;0,(INDIRECT(M106)*N106)/L106,0),0)</f>
        <v>0</v>
      </c>
      <c r="P106" s="51" cm="1">
        <f t="array" aca="1" ref="P106" ca="1">IF(N106&lt;&gt;0,(INDIRECT(M106)*N106)/L106,0)</f>
        <v>0</v>
      </c>
      <c r="Q106" s="38">
        <v>3</v>
      </c>
    </row>
    <row r="107" spans="1:17" hidden="1" outlineLevel="4">
      <c r="A107" s="23">
        <v>0</v>
      </c>
      <c r="B107" s="41" t="s">
        <v>38</v>
      </c>
      <c r="C107" s="41" t="s">
        <v>60</v>
      </c>
      <c r="D107" s="25" t="str">
        <f t="shared" ref="D107:D136" si="79">IFERROR(VLOOKUP(C107,Todos,2,FALSE),"")</f>
        <v></v>
      </c>
      <c r="E107" s="42" t="s">
        <v>190</v>
      </c>
      <c r="F107" s="43">
        <v>10</v>
      </c>
      <c r="G107" s="28">
        <f t="shared" si="78"/>
        <v>45198.270833333358</v>
      </c>
      <c r="H107" s="28">
        <f t="shared" si="69"/>
        <v>45198.277777777803</v>
      </c>
      <c r="I107" s="29"/>
      <c r="J107" s="30">
        <v>1</v>
      </c>
      <c r="K107" s="31"/>
      <c r="L107" s="32"/>
      <c r="M107" s="31"/>
      <c r="N107" s="33"/>
      <c r="O107" s="51" cm="1">
        <f t="array" aca="1" ref="O107" ca="1">IF(K107="SI",IF(N107&lt;&gt;0,(INDIRECT(M107)*N107)/L107,0),0)</f>
        <v>0</v>
      </c>
      <c r="P107" s="51" cm="1">
        <f t="array" aca="1" ref="P107" ca="1">IF(N107&lt;&gt;0,(INDIRECT(M107)*N107)/L107,0)</f>
        <v>0</v>
      </c>
      <c r="Q107" s="38">
        <v>3</v>
      </c>
    </row>
    <row r="108" spans="1:17" hidden="1" outlineLevel="4">
      <c r="A108" s="23">
        <v>0</v>
      </c>
      <c r="B108" s="41" t="s">
        <v>24</v>
      </c>
      <c r="C108" s="41" t="s">
        <v>191</v>
      </c>
      <c r="D108" s="25" t="str">
        <f t="shared" ref="D108:D137" si="80">IFERROR(VLOOKUP(C108,Todos,2,FALSE),"")</f>
        <v></v>
      </c>
      <c r="E108" s="42" t="s">
        <v>191</v>
      </c>
      <c r="F108" s="43">
        <v>20</v>
      </c>
      <c r="G108" s="28">
        <f t="shared" si="78"/>
        <v>45198.277777777803</v>
      </c>
      <c r="H108" s="28">
        <f t="shared" si="69"/>
        <v>45198.291666666693</v>
      </c>
      <c r="I108" s="29"/>
      <c r="J108" s="30"/>
      <c r="K108" s="31"/>
      <c r="L108" s="32"/>
      <c r="M108" s="31"/>
      <c r="N108" s="33"/>
      <c r="O108" s="51" cm="1">
        <f t="array" aca="1" ref="O108" ca="1">IF(K108="SI",IF(N108&lt;&gt;0,(INDIRECT(M108)*N108)/L108,0),0)</f>
        <v>0</v>
      </c>
      <c r="P108" s="51" cm="1">
        <f t="array" aca="1" ref="P108" ca="1">IF(N108&lt;&gt;0,(INDIRECT(M108)*N108)/L108,0)</f>
        <v>0</v>
      </c>
      <c r="Q108" s="38">
        <v>3</v>
      </c>
    </row>
    <row r="109" spans="1:17" ht="42" hidden="1" outlineLevel="4">
      <c r="A109" s="23">
        <v>2</v>
      </c>
      <c r="B109" s="41" t="s">
        <v>38</v>
      </c>
      <c r="C109" s="41" t="s">
        <v>77</v>
      </c>
      <c r="D109" s="25" t="str">
        <f t="shared" ref="D109:D138" si="81">IFERROR(VLOOKUP(C109,Todos,2,FALSE),"")</f>
        <v></v>
      </c>
      <c r="E109" s="42" t="s">
        <v>192</v>
      </c>
      <c r="F109" s="43">
        <v>50</v>
      </c>
      <c r="G109" s="28">
        <f t="shared" si="78"/>
        <v>45198.291666666693</v>
      </c>
      <c r="H109" s="28">
        <f t="shared" si="69"/>
        <v>45198.326388888912</v>
      </c>
      <c r="I109" s="29" t="s">
        <v>193</v>
      </c>
      <c r="J109" s="30"/>
      <c r="K109" s="31" t="s">
        <v>27</v>
      </c>
      <c r="L109" s="32">
        <v>2</v>
      </c>
      <c r="M109" s="31" t="s">
        <v>28</v>
      </c>
      <c r="N109" s="33">
        <v>77737</v>
      </c>
      <c r="O109" s="51" t="e" cm="1">
        <f t="array" aca="1" ref="O109" ca="1">IF(K109="SI",IF(N109&lt;&gt;0,(INDIRECT(M109)*N109)/L109,0),0)</f>
        <v>#REF!</v>
      </c>
      <c r="P109" s="51" t="e" cm="1">
        <f t="array" aca="1" ref="P109" ca="1">IF(N109&lt;&gt;0,(INDIRECT(M109)*N109)/L109,0)</f>
        <v>#REF!</v>
      </c>
      <c r="Q109" s="38">
        <v>3</v>
      </c>
    </row>
    <row r="110" spans="1:17" hidden="1" outlineLevel="4">
      <c r="A110" s="23">
        <v>0</v>
      </c>
      <c r="B110" s="41" t="s">
        <v>42</v>
      </c>
      <c r="C110" s="41" t="s">
        <v>43</v>
      </c>
      <c r="D110" s="25" t="str">
        <f t="shared" ref="D110:D139" si="82">IFERROR(VLOOKUP(C110,Todos,2,FALSE),"")</f>
        <v></v>
      </c>
      <c r="E110" s="42" t="s">
        <v>194</v>
      </c>
      <c r="F110" s="43">
        <v>175</v>
      </c>
      <c r="G110" s="28">
        <f t="shared" si="78"/>
        <v>45198.326388888912</v>
      </c>
      <c r="H110" s="28">
        <f t="shared" si="69"/>
        <v>45198.447916666693</v>
      </c>
      <c r="I110" s="29" t="s">
        <v>195</v>
      </c>
      <c r="J110" s="30"/>
      <c r="K110" s="31"/>
      <c r="L110" s="32"/>
      <c r="M110" s="31"/>
      <c r="N110" s="33"/>
      <c r="O110" s="51" cm="1">
        <f t="array" aca="1" ref="O110" ca="1">IF(K110="SI",IF(N110&lt;&gt;0,(INDIRECT(M110)*N110)/L110,0),0)</f>
        <v>0</v>
      </c>
      <c r="P110" s="51" cm="1">
        <f t="array" aca="1" ref="P110" ca="1">IF(N110&lt;&gt;0,(INDIRECT(M110)*N110)/L110,0)</f>
        <v>0</v>
      </c>
      <c r="Q110" s="38">
        <v>3</v>
      </c>
    </row>
    <row r="111" spans="1:17" ht="42" hidden="1" outlineLevel="1">
      <c r="A111" s="23">
        <v>2</v>
      </c>
      <c r="B111" s="41" t="s">
        <v>38</v>
      </c>
      <c r="C111" s="41" t="s">
        <v>46</v>
      </c>
      <c r="D111" s="25" t="str">
        <f t="shared" ref="D111:D140" si="83">IFERROR(VLOOKUP(C111,Todos,2,FALSE),"")</f>
        <v></v>
      </c>
      <c r="E111" s="42" t="s">
        <v>196</v>
      </c>
      <c r="F111" s="43">
        <v>345</v>
      </c>
      <c r="G111" s="28">
        <f t="shared" si="78"/>
        <v>45198.447916666693</v>
      </c>
      <c r="H111" s="28">
        <f t="shared" si="69"/>
        <v>45198.687500000029</v>
      </c>
      <c r="I111" s="29" t="s">
        <v>197</v>
      </c>
      <c r="J111" s="30"/>
      <c r="K111" s="31" t="s">
        <v>27</v>
      </c>
      <c r="L111" s="32">
        <v>2</v>
      </c>
      <c r="M111" s="31" t="s">
        <v>28</v>
      </c>
      <c r="N111" s="33">
        <v>804242</v>
      </c>
      <c r="O111" s="51" t="e" cm="1">
        <f t="array" aca="1" ref="O111" ca="1">IF(K111="SI",IF(N111&lt;&gt;0,(INDIRECT(M111)*N111)/L111,0),0)</f>
        <v>#REF!</v>
      </c>
      <c r="P111" s="51" t="e" cm="1">
        <f t="array" aca="1" ref="P111" ca="1">IF(N111&lt;&gt;0,(INDIRECT(M111)*N111)/L111,0)</f>
        <v>#REF!</v>
      </c>
      <c r="Q111" s="38">
        <v>3</v>
      </c>
    </row>
    <row r="112" spans="1:17" hidden="1" outlineLevel="1" collapsed="1">
      <c r="A112" s="43">
        <v>0</v>
      </c>
      <c r="B112" s="41" t="s">
        <v>15</v>
      </c>
      <c r="C112" s="41" t="s">
        <v>18</v>
      </c>
      <c r="D112" s="25" t="str">
        <f t="shared" ref="D112:D141" si="84">IFERROR(VLOOKUP(C112,Todos,2,FALSE),"")</f>
        <v></v>
      </c>
      <c r="E112" s="45" t="s">
        <v>198</v>
      </c>
      <c r="F112" s="43">
        <f>F113+F180+F181</f>
        <v>7645</v>
      </c>
      <c r="G112" s="28">
        <f>H111</f>
        <v>45198.687500000029</v>
      </c>
      <c r="H112" s="28">
        <f t="shared" si="69"/>
        <v>45203.99652777781</v>
      </c>
      <c r="I112" s="29" t="str">
        <f>PROPER(TEXT(G112,"dddd")) &amp; " - Días Totales: " &amp; ROUND(F112/1440,0)</f>
        <v>Viernes - Días Totales: 5</v>
      </c>
      <c r="J112" s="30">
        <f>J113+J180+J181</f>
        <v>49.5</v>
      </c>
      <c r="K112" s="31"/>
      <c r="L112" s="32"/>
      <c r="M112" s="31"/>
      <c r="N112" s="33"/>
      <c r="O112" s="51" t="e">
        <f ca="1">O113+O180+O181</f>
        <v>#REF!</v>
      </c>
      <c r="P112" s="51" t="e">
        <f ca="1">P113+P180+P181</f>
        <v>#REF!</v>
      </c>
      <c r="Q112" s="38">
        <f>AVERAGE(Q113,Q181,Q180)</f>
        <v>3</v>
      </c>
    </row>
    <row r="113" spans="1:20" hidden="1" outlineLevel="2">
      <c r="A113" s="43">
        <v>0</v>
      </c>
      <c r="B113" s="41" t="s">
        <v>15</v>
      </c>
      <c r="C113" s="41" t="s">
        <v>20</v>
      </c>
      <c r="D113" s="25" t="str">
        <f t="shared" si="84"/>
        <v></v>
      </c>
      <c r="E113" s="42" t="s">
        <v>199</v>
      </c>
      <c r="F113" s="43">
        <f>F114+F123+F176+F151</f>
        <v>3775</v>
      </c>
      <c r="G113" s="28">
        <f>H111</f>
        <v>45198.687500000029</v>
      </c>
      <c r="H113" s="28">
        <f t="shared" si="69"/>
        <v>45201.30902777781</v>
      </c>
      <c r="I113" s="29" t="str">
        <f>PROPER(TEXT(G113,"dddd")) &amp; " - Días Totales: " &amp; ROUND(F113/1440,0)</f>
        <v>Viernes - Días Totales: 3</v>
      </c>
      <c r="J113" s="30">
        <f>J114+J123+J176+J151</f>
        <v>16.299999999999997</v>
      </c>
      <c r="K113" s="31"/>
      <c r="L113" s="32"/>
      <c r="M113" s="31"/>
      <c r="N113" s="33"/>
      <c r="O113" s="51" t="e">
        <f ca="1">O114+O123+O176+O151</f>
        <v>#REF!</v>
      </c>
      <c r="P113" s="51" t="e">
        <f ca="1">P114+P123+P151+P176</f>
        <v>#REF!</v>
      </c>
      <c r="Q113" s="38">
        <f>AVERAGE(Q114,Q123,Q151,Q176)</f>
        <v>3</v>
      </c>
    </row>
    <row r="114" spans="1:20" s="56" customFormat="1" hidden="1" outlineLevel="3">
      <c r="A114" s="43">
        <v>0</v>
      </c>
      <c r="B114" s="41" t="s">
        <v>15</v>
      </c>
      <c r="C114" s="41" t="s">
        <v>22</v>
      </c>
      <c r="D114" s="25" t="str">
        <f t="shared" si="84"/>
        <v></v>
      </c>
      <c r="E114" s="55" t="s">
        <v>200</v>
      </c>
      <c r="F114" s="43">
        <f>SUM(F115:F122)</f>
        <v>450</v>
      </c>
      <c r="G114" s="28">
        <f>H111</f>
        <v>45198.687500000029</v>
      </c>
      <c r="H114" s="28">
        <f t="shared" si="69"/>
        <v>45199.000000000029</v>
      </c>
      <c r="I114" s="29" t="str">
        <f>PROPER(TEXT(G114,"dddd"))</f>
        <v>Viernes</v>
      </c>
      <c r="J114" s="30">
        <f>SUM(J115:J122)</f>
        <v>0</v>
      </c>
      <c r="K114" s="31"/>
      <c r="L114" s="32"/>
      <c r="M114" s="31"/>
      <c r="N114" s="48"/>
      <c r="O114" s="49" t="e">
        <f ca="1">SUM(O115:O122)</f>
        <v>#REF!</v>
      </c>
      <c r="P114" s="49" t="e">
        <f ca="1">SUM(P115:P122)</f>
        <v>#REF!</v>
      </c>
      <c r="Q114" s="38">
        <f>AVERAGE(Q115:Q122)</f>
        <v>3</v>
      </c>
      <c r="R114" s="8"/>
      <c r="S114" s="8"/>
      <c r="T114" s="8"/>
    </row>
    <row r="115" spans="1:20" s="56" customFormat="1" hidden="1" outlineLevel="4">
      <c r="A115" s="43">
        <v>0</v>
      </c>
      <c r="B115" s="41" t="s">
        <v>42</v>
      </c>
      <c r="C115" s="41" t="s">
        <v>201</v>
      </c>
      <c r="D115" s="25" t="str">
        <f t="shared" si="84"/>
        <v></v>
      </c>
      <c r="E115" s="42" t="s">
        <v>202</v>
      </c>
      <c r="F115" s="43">
        <v>60</v>
      </c>
      <c r="G115" s="28">
        <f>H111</f>
        <v>45198.687500000029</v>
      </c>
      <c r="H115" s="28">
        <f t="shared" si="69"/>
        <v>45198.729166666693</v>
      </c>
      <c r="I115" s="29"/>
      <c r="J115" s="30"/>
      <c r="K115" s="31"/>
      <c r="L115" s="32"/>
      <c r="M115" s="31"/>
      <c r="N115" s="33"/>
      <c r="O115" s="51" cm="1">
        <f t="array" aca="1" ref="O115" ca="1">IF(K115="SI",IF(N115&lt;&gt;0,(INDIRECT(M115)*N115)/L115,0),0)</f>
        <v>0</v>
      </c>
      <c r="P115" s="51" cm="1">
        <f t="array" aca="1" ref="P115" ca="1">IF(N115&lt;&gt;0,(INDIRECT(M115)*N115)/L115,0)</f>
        <v>0</v>
      </c>
      <c r="Q115" s="38">
        <v>3</v>
      </c>
      <c r="R115" s="8"/>
      <c r="S115" s="8"/>
      <c r="T115" s="8"/>
    </row>
    <row r="116" spans="1:20" s="56" customFormat="1" ht="14" hidden="1" outlineLevel="4">
      <c r="A116" s="43">
        <v>0</v>
      </c>
      <c r="B116" s="41" t="s">
        <v>38</v>
      </c>
      <c r="C116" s="41" t="s">
        <v>77</v>
      </c>
      <c r="D116" s="25" t="str">
        <f t="shared" ref="D116:D145" si="85">IFERROR(VLOOKUP(C116,Todos,2,FALSE),"")</f>
        <v></v>
      </c>
      <c r="E116" s="42" t="s">
        <v>203</v>
      </c>
      <c r="F116" s="43">
        <v>30</v>
      </c>
      <c r="G116" s="28">
        <f>H115</f>
        <v>45198.729166666693</v>
      </c>
      <c r="H116" s="28">
        <f t="shared" si="69"/>
        <v>45198.750000000029</v>
      </c>
      <c r="I116" s="29" t="s">
        <v>204</v>
      </c>
      <c r="J116" s="30"/>
      <c r="K116" s="31" t="s">
        <v>58</v>
      </c>
      <c r="L116" s="32">
        <v>1</v>
      </c>
      <c r="M116" s="31" t="s">
        <v>205</v>
      </c>
      <c r="N116" s="33">
        <v>1.8</v>
      </c>
      <c r="O116" s="51" cm="1">
        <f t="array" aca="1" ref="O116" ca="1">IF(K116="SI",IF(N116&lt;&gt;0,(INDIRECT(M116)*N116)/L116,0),0)</f>
        <v>0</v>
      </c>
      <c r="P116" s="51" t="e" cm="1">
        <f t="array" aca="1" ref="P116" ca="1">IF(N116&lt;&gt;0,(INDIRECT(M116)*N116)/L116,0)</f>
        <v>#REF!</v>
      </c>
      <c r="Q116" s="38">
        <v>3</v>
      </c>
      <c r="R116" s="8"/>
      <c r="S116" s="8"/>
      <c r="T116" s="8"/>
    </row>
    <row r="117" spans="1:20" s="56" customFormat="1" ht="31.5" hidden="1" outlineLevel="4">
      <c r="A117" s="43">
        <v>0</v>
      </c>
      <c r="B117" s="41" t="s">
        <v>62</v>
      </c>
      <c r="C117" s="41" t="s">
        <v>63</v>
      </c>
      <c r="D117" s="25" t="str">
        <f t="shared" ref="D117:D146" si="86">IFERROR(VLOOKUP(C117,Todos,2,FALSE),"")</f>
        <v></v>
      </c>
      <c r="E117" s="42" t="s">
        <v>206</v>
      </c>
      <c r="F117" s="43">
        <v>20</v>
      </c>
      <c r="G117" s="28">
        <f t="shared" ref="G117:G122" si="87">H116</f>
        <v>45198.750000000029</v>
      </c>
      <c r="H117" s="28">
        <f t="shared" si="69"/>
        <v>45198.76388888892</v>
      </c>
      <c r="I117" s="29" t="s">
        <v>207</v>
      </c>
      <c r="J117" s="30"/>
      <c r="K117" s="31" t="s">
        <v>27</v>
      </c>
      <c r="L117" s="32">
        <v>3</v>
      </c>
      <c r="M117" s="31" t="s">
        <v>28</v>
      </c>
      <c r="N117" s="33">
        <v>1667988</v>
      </c>
      <c r="O117" s="51" t="e" cm="1">
        <f t="array" aca="1" ref="O117" ca="1">IF(K117="SI",IF(N117&lt;&gt;0,(INDIRECT(M117)*N117)/L117,0),0)</f>
        <v>#REF!</v>
      </c>
      <c r="P117" s="51" t="e" cm="1">
        <f t="array" aca="1" ref="P117" ca="1">IF(N117&lt;&gt;0,(INDIRECT(M117)*N117)/L117,0)</f>
        <v>#REF!</v>
      </c>
      <c r="Q117" s="38">
        <v>3</v>
      </c>
      <c r="R117" s="8"/>
      <c r="S117" s="8"/>
      <c r="T117" s="8"/>
    </row>
    <row r="118" spans="1:20" s="56" customFormat="1" hidden="1" outlineLevel="4">
      <c r="A118" s="43">
        <v>0</v>
      </c>
      <c r="B118" s="41" t="s">
        <v>24</v>
      </c>
      <c r="C118" s="41" t="s">
        <v>37</v>
      </c>
      <c r="D118" s="25" t="str">
        <f t="shared" ref="D118:D147" si="88">IFERROR(VLOOKUP(C118,Todos,2,FALSE),"")</f>
        <v></v>
      </c>
      <c r="E118" s="42" t="s">
        <v>37</v>
      </c>
      <c r="F118" s="43">
        <v>40</v>
      </c>
      <c r="G118" s="28">
        <f t="shared" si="87"/>
        <v>45198.76388888892</v>
      </c>
      <c r="H118" s="28">
        <f t="shared" si="69"/>
        <v>45198.791666666701</v>
      </c>
      <c r="I118" s="29"/>
      <c r="J118" s="30"/>
      <c r="K118" s="31"/>
      <c r="L118" s="32"/>
      <c r="M118" s="31"/>
      <c r="N118" s="33"/>
      <c r="O118" s="51" cm="1">
        <f t="array" aca="1" ref="O118" ca="1">IF(K118="SI",IF(N118&lt;&gt;0,(INDIRECT(M118)*N118)/L118,0),0)</f>
        <v>0</v>
      </c>
      <c r="P118" s="51" cm="1">
        <f t="array" aca="1" ref="P118" ca="1">IF(N118&lt;&gt;0,(INDIRECT(M118)*N118)/L118,0)</f>
        <v>0</v>
      </c>
      <c r="Q118" s="38">
        <v>3</v>
      </c>
      <c r="R118" s="8"/>
      <c r="S118" s="8"/>
      <c r="T118" s="8"/>
    </row>
    <row r="119" spans="1:20" s="56" customFormat="1" hidden="1" outlineLevel="4">
      <c r="A119" s="43">
        <v>0</v>
      </c>
      <c r="B119" s="41" t="s">
        <v>24</v>
      </c>
      <c r="C119" s="41" t="s">
        <v>68</v>
      </c>
      <c r="D119" s="25" t="str">
        <f t="shared" ref="D119:D148" si="89">IFERROR(VLOOKUP(C119,Todos,2,FALSE),"")</f>
        <v></v>
      </c>
      <c r="E119" s="42" t="s">
        <v>69</v>
      </c>
      <c r="F119" s="43">
        <v>30</v>
      </c>
      <c r="G119" s="28">
        <f t="shared" si="87"/>
        <v>45198.791666666701</v>
      </c>
      <c r="H119" s="28">
        <f t="shared" si="69"/>
        <v>45198.812500000036</v>
      </c>
      <c r="I119" s="29" t="s">
        <v>208</v>
      </c>
      <c r="J119" s="30"/>
      <c r="K119" s="31" t="s">
        <v>58</v>
      </c>
      <c r="L119" s="32">
        <v>1</v>
      </c>
      <c r="M119" s="31" t="s">
        <v>205</v>
      </c>
      <c r="N119" s="33">
        <v>10</v>
      </c>
      <c r="O119" s="51" cm="1">
        <f t="array" aca="1" ref="O119" ca="1">IF(K119="SI",IF(N119&lt;&gt;0,(INDIRECT(M119)*N119)/L119,0),0)</f>
        <v>0</v>
      </c>
      <c r="P119" s="51" t="e" cm="1">
        <f t="array" aca="1" ref="P119" ca="1">IF(N119&lt;&gt;0,(INDIRECT(M119)*N119)/L119,0)</f>
        <v>#REF!</v>
      </c>
      <c r="Q119" s="38">
        <v>3</v>
      </c>
      <c r="R119" s="8"/>
      <c r="S119" s="8"/>
      <c r="T119" s="8"/>
    </row>
    <row r="120" spans="1:20" hidden="1" outlineLevel="4">
      <c r="A120" s="23">
        <v>0</v>
      </c>
      <c r="B120" s="41" t="s">
        <v>24</v>
      </c>
      <c r="C120" s="41" t="s">
        <v>31</v>
      </c>
      <c r="D120" s="25" t="str">
        <f>IFERROR(VLOOKUP(C120,Todos,2,FALSE),"")</f>
        <v></v>
      </c>
      <c r="E120" s="42" t="s">
        <v>209</v>
      </c>
      <c r="F120" s="43">
        <v>0</v>
      </c>
      <c r="G120" s="28">
        <f t="shared" si="87"/>
        <v>45198.812500000036</v>
      </c>
      <c r="H120" s="28">
        <f t="shared" si="69"/>
        <v>45198.812500000036</v>
      </c>
      <c r="I120" s="29" t="s">
        <v>210</v>
      </c>
      <c r="J120" s="30"/>
      <c r="K120" s="31"/>
      <c r="L120" s="32"/>
      <c r="M120" s="31"/>
      <c r="N120" s="33"/>
      <c r="O120" s="34" cm="1">
        <f t="array" aca="1" ref="O120" ca="1">IF(K120="SI",IF(N120&lt;&gt;0,(INDIRECT(M120)*N120)/L120,0),0)</f>
        <v>0</v>
      </c>
      <c r="P120" s="34" cm="1">
        <f t="array" aca="1" ref="P120" ca="1">IF(N120&lt;&gt;0,(INDIRECT(M120)*N120)/L120,0)</f>
        <v>0</v>
      </c>
      <c r="Q120" s="38">
        <v>3</v>
      </c>
    </row>
    <row r="121" spans="1:20" s="56" customFormat="1" ht="42" hidden="1" outlineLevel="4">
      <c r="A121" s="43">
        <v>0</v>
      </c>
      <c r="B121" s="41" t="s">
        <v>71</v>
      </c>
      <c r="C121" s="41" t="s">
        <v>72</v>
      </c>
      <c r="D121" s="25" t="str">
        <f t="shared" ref="D121:D367" si="90">IFERROR(VLOOKUP(C121,Todos,2,FALSE),"")</f>
        <v></v>
      </c>
      <c r="E121" s="42" t="s">
        <v>211</v>
      </c>
      <c r="F121" s="43">
        <v>60</v>
      </c>
      <c r="G121" s="28">
        <f t="shared" si="87"/>
        <v>45198.812500000036</v>
      </c>
      <c r="H121" s="28">
        <f t="shared" si="69"/>
        <v>45198.854166666701</v>
      </c>
      <c r="I121" s="29" t="s">
        <v>212</v>
      </c>
      <c r="J121" s="30"/>
      <c r="K121" s="31" t="s">
        <v>58</v>
      </c>
      <c r="L121" s="32">
        <v>1</v>
      </c>
      <c r="M121" s="31" t="s">
        <v>205</v>
      </c>
      <c r="N121" s="33">
        <v>40</v>
      </c>
      <c r="O121" s="51" cm="1">
        <f t="array" aca="1" ref="O121" ca="1">IF(K121="SI",IF(N121&lt;&gt;0,(INDIRECT(M121)*N121)/L121,0),0)</f>
        <v>0</v>
      </c>
      <c r="P121" s="51" t="e" cm="1">
        <f t="array" aca="1" ref="P121" ca="1">IF(N121&lt;&gt;0,(INDIRECT(M121)*N121)/L121,0)</f>
        <v>#REF!</v>
      </c>
      <c r="Q121" s="38">
        <v>3</v>
      </c>
      <c r="R121" s="8"/>
      <c r="S121" s="8"/>
      <c r="T121" s="8"/>
    </row>
    <row r="122" spans="1:20" s="56" customFormat="1" hidden="1" outlineLevel="4">
      <c r="A122" s="43">
        <v>0</v>
      </c>
      <c r="B122" s="41" t="s">
        <v>24</v>
      </c>
      <c r="C122" s="41" t="s">
        <v>37</v>
      </c>
      <c r="D122" s="25" t="str">
        <f t="shared" ref="D122:D368" si="91">IFERROR(VLOOKUP(C122,Todos,2,FALSE),"")</f>
        <v></v>
      </c>
      <c r="E122" s="42" t="s">
        <v>37</v>
      </c>
      <c r="F122" s="43">
        <v>210</v>
      </c>
      <c r="G122" s="28">
        <f t="shared" si="87"/>
        <v>45198.854166666701</v>
      </c>
      <c r="H122" s="28">
        <f t="shared" si="69"/>
        <v>45199.000000000036</v>
      </c>
      <c r="I122" s="29"/>
      <c r="J122" s="30"/>
      <c r="K122" s="31"/>
      <c r="L122" s="32"/>
      <c r="M122" s="31"/>
      <c r="N122" s="33"/>
      <c r="O122" s="51" cm="1">
        <f t="array" aca="1" ref="O122" ca="1">IF(K122="SI",IF(N122&lt;&gt;0,(INDIRECT(M122)*N122)/L122,0),0)</f>
        <v>0</v>
      </c>
      <c r="P122" s="51" cm="1">
        <f t="array" aca="1" ref="P122" ca="1">IF(N122&lt;&gt;0,(INDIRECT(M122)*N122)/L122,0)</f>
        <v>0</v>
      </c>
      <c r="Q122" s="38">
        <v>3</v>
      </c>
      <c r="R122" s="8"/>
      <c r="S122" s="8"/>
      <c r="T122" s="8"/>
    </row>
    <row r="123" spans="1:20" s="56" customFormat="1" hidden="1" outlineLevel="3">
      <c r="A123" s="43">
        <v>0</v>
      </c>
      <c r="B123" s="41" t="s">
        <v>15</v>
      </c>
      <c r="C123" s="41" t="s">
        <v>22</v>
      </c>
      <c r="D123" s="25" t="str">
        <f t="shared" ref="D123:D369" si="92">IFERROR(VLOOKUP(C123,Todos,2,FALSE),"")</f>
        <v></v>
      </c>
      <c r="E123" s="55" t="s">
        <v>213</v>
      </c>
      <c r="F123" s="43">
        <f>SUM(F124:F150)</f>
        <v>1440</v>
      </c>
      <c r="G123" s="28">
        <f>H122</f>
        <v>45199.000000000036</v>
      </c>
      <c r="H123" s="28">
        <f t="shared" si="69"/>
        <v>45200.000000000036</v>
      </c>
      <c r="I123" s="29" t="str">
        <f>PROPER(TEXT(G123,"dddd"))</f>
        <v>Sábado</v>
      </c>
      <c r="J123" s="30">
        <f>SUM(J124:J150)</f>
        <v>13.499999999999998</v>
      </c>
      <c r="K123" s="31"/>
      <c r="L123" s="32"/>
      <c r="M123" s="31"/>
      <c r="N123" s="48"/>
      <c r="O123" s="49">
        <f ca="1">SUM(O124:O150)</f>
        <v>0</v>
      </c>
      <c r="P123" s="49" t="e">
        <f ca="1">SUM(P124:P150)</f>
        <v>#REF!</v>
      </c>
      <c r="Q123" s="38">
        <f>AVERAGE(Q124:Q150)</f>
        <v>3</v>
      </c>
      <c r="R123" s="8"/>
      <c r="S123" s="8"/>
      <c r="T123" s="8"/>
    </row>
    <row r="124" spans="1:20" s="56" customFormat="1" hidden="1" outlineLevel="4">
      <c r="A124" s="43">
        <v>0</v>
      </c>
      <c r="B124" s="41" t="s">
        <v>24</v>
      </c>
      <c r="C124" s="41" t="s">
        <v>37</v>
      </c>
      <c r="D124" s="25" t="str">
        <f t="shared" si="92"/>
        <v></v>
      </c>
      <c r="E124" s="42" t="s">
        <v>37</v>
      </c>
      <c r="F124" s="43">
        <v>450</v>
      </c>
      <c r="G124" s="28">
        <f>H122</f>
        <v>45199.000000000036</v>
      </c>
      <c r="H124" s="28">
        <f t="shared" si="69"/>
        <v>45199.312500000036</v>
      </c>
      <c r="I124" s="29"/>
      <c r="J124" s="30"/>
      <c r="K124" s="31"/>
      <c r="L124" s="32"/>
      <c r="M124" s="31"/>
      <c r="N124" s="33"/>
      <c r="O124" s="51" cm="1">
        <f t="array" aca="1" ref="O124" ca="1">IF(K124="SI",IF(N124&lt;&gt;0,(INDIRECT(M124)*N124)/L124,0),0)</f>
        <v>0</v>
      </c>
      <c r="P124" s="51" cm="1">
        <f t="array" aca="1" ref="P124" ca="1">IF(N124&lt;&gt;0,(INDIRECT(M124)*N124)/L124,0)</f>
        <v>0</v>
      </c>
      <c r="Q124" s="38">
        <v>3</v>
      </c>
      <c r="R124" s="8"/>
      <c r="S124" s="8"/>
      <c r="T124" s="8"/>
    </row>
    <row r="125" spans="1:20" s="56" customFormat="1" hidden="1" outlineLevel="4">
      <c r="A125" s="43">
        <v>0</v>
      </c>
      <c r="B125" s="41" t="s">
        <v>24</v>
      </c>
      <c r="C125" s="41" t="s">
        <v>25</v>
      </c>
      <c r="D125" s="25" t="str">
        <f t="shared" ref="D125:D371" si="93">IFERROR(VLOOKUP(C125,Todos,2,FALSE),"")</f>
        <v></v>
      </c>
      <c r="E125" s="42" t="s">
        <v>214</v>
      </c>
      <c r="F125" s="43">
        <v>0</v>
      </c>
      <c r="G125" s="28">
        <f>H124</f>
        <v>45199.312500000036</v>
      </c>
      <c r="H125" s="28">
        <f t="shared" si="69"/>
        <v>45199.312500000036</v>
      </c>
      <c r="I125" s="29" t="s">
        <v>215</v>
      </c>
      <c r="J125" s="30"/>
      <c r="K125" s="31"/>
      <c r="L125" s="32"/>
      <c r="M125" s="31"/>
      <c r="N125" s="33"/>
      <c r="O125" s="51" cm="1">
        <f t="array" aca="1" ref="O125" ca="1">IF(K125="SI",IF(N125&lt;&gt;0,(INDIRECT(M125)*N125)/L125,0),0)</f>
        <v>0</v>
      </c>
      <c r="P125" s="51" cm="1">
        <f t="array" aca="1" ref="P125" ca="1">IF(N125&lt;&gt;0,(INDIRECT(M125)*N125)/L125,0)</f>
        <v>0</v>
      </c>
      <c r="Q125" s="38">
        <v>3</v>
      </c>
      <c r="R125" s="8"/>
      <c r="S125" s="8"/>
      <c r="T125" s="8"/>
    </row>
    <row r="126" spans="1:20" s="56" customFormat="1" hidden="1" outlineLevel="4">
      <c r="A126" s="43">
        <v>0</v>
      </c>
      <c r="B126" s="41" t="s">
        <v>71</v>
      </c>
      <c r="C126" s="41" t="s">
        <v>75</v>
      </c>
      <c r="D126" s="25" t="str">
        <f t="shared" ref="D126:D372" si="94">IFERROR(VLOOKUP(C126,Todos,2,FALSE),"")</f>
        <v></v>
      </c>
      <c r="E126" s="42" t="s">
        <v>216</v>
      </c>
      <c r="F126" s="43">
        <v>60</v>
      </c>
      <c r="G126" s="28">
        <f t="shared" ref="G126:G150" si="95">H125</f>
        <v>45199.312500000036</v>
      </c>
      <c r="H126" s="28">
        <f t="shared" si="69"/>
        <v>45199.354166666701</v>
      </c>
      <c r="I126" s="29" t="s">
        <v>217</v>
      </c>
      <c r="J126" s="30"/>
      <c r="K126" s="31" t="s">
        <v>58</v>
      </c>
      <c r="L126" s="32">
        <v>1</v>
      </c>
      <c r="M126" s="31" t="s">
        <v>205</v>
      </c>
      <c r="N126" s="33">
        <v>15</v>
      </c>
      <c r="O126" s="51" cm="1">
        <f t="array" aca="1" ref="O126" ca="1">IF(K126="SI",IF(N126&lt;&gt;0,(INDIRECT(M126)*N126)/L126,0),0)</f>
        <v>0</v>
      </c>
      <c r="P126" s="51" t="e" cm="1">
        <f t="array" aca="1" ref="P126" ca="1">IF(N126&lt;&gt;0,(INDIRECT(M126)*N126)/L126,0)</f>
        <v>#REF!</v>
      </c>
      <c r="Q126" s="38">
        <v>3</v>
      </c>
      <c r="R126" s="8"/>
      <c r="S126" s="8"/>
      <c r="T126" s="8"/>
    </row>
    <row r="127" spans="1:20" s="56" customFormat="1" hidden="1" outlineLevel="4">
      <c r="A127" s="43">
        <v>0</v>
      </c>
      <c r="B127" s="41" t="s">
        <v>38</v>
      </c>
      <c r="C127" s="41" t="s">
        <v>77</v>
      </c>
      <c r="D127" s="25" t="str">
        <f t="shared" ref="D127:D373" si="96">IFERROR(VLOOKUP(C127,Todos,2,FALSE),"")</f>
        <v></v>
      </c>
      <c r="E127" s="42" t="s">
        <v>218</v>
      </c>
      <c r="F127" s="43">
        <v>30</v>
      </c>
      <c r="G127" s="28">
        <f t="shared" si="95"/>
        <v>45199.354166666701</v>
      </c>
      <c r="H127" s="28">
        <f t="shared" si="69"/>
        <v>45199.375000000036</v>
      </c>
      <c r="I127" s="29" t="s">
        <v>219</v>
      </c>
      <c r="J127" s="30"/>
      <c r="K127" s="31" t="s">
        <v>58</v>
      </c>
      <c r="L127" s="32">
        <v>1</v>
      </c>
      <c r="M127" s="31" t="s">
        <v>205</v>
      </c>
      <c r="N127" s="33">
        <v>2</v>
      </c>
      <c r="O127" s="51" cm="1">
        <f t="array" aca="1" ref="O127" ca="1">IF(K127="SI",IF(N127&lt;&gt;0,(INDIRECT(M127)*N127)/L127,0),0)</f>
        <v>0</v>
      </c>
      <c r="P127" s="51" t="e" cm="1">
        <f t="array" aca="1" ref="P127" ca="1">IF(N127&lt;&gt;0,(INDIRECT(M127)*N127)/L127,0)</f>
        <v>#REF!</v>
      </c>
      <c r="Q127" s="38">
        <v>3</v>
      </c>
      <c r="R127" s="8"/>
      <c r="S127" s="8"/>
      <c r="T127" s="8"/>
    </row>
    <row r="128" spans="1:20" s="56" customFormat="1" ht="21" hidden="1" outlineLevel="4">
      <c r="A128" s="43">
        <v>0</v>
      </c>
      <c r="B128" s="41" t="s">
        <v>62</v>
      </c>
      <c r="C128" s="41" t="s">
        <v>102</v>
      </c>
      <c r="D128" s="25" t="str">
        <f t="shared" ref="D128:D374" si="97">IFERROR(VLOOKUP(C128,Todos,2,FALSE),"")</f>
        <v></v>
      </c>
      <c r="E128" s="42" t="s">
        <v>220</v>
      </c>
      <c r="F128" s="43">
        <v>90</v>
      </c>
      <c r="G128" s="28">
        <f t="shared" si="95"/>
        <v>45199.375000000036</v>
      </c>
      <c r="H128" s="28">
        <f t="shared" si="69"/>
        <v>45199.437500000036</v>
      </c>
      <c r="I128" s="29" t="s">
        <v>221</v>
      </c>
      <c r="J128" s="30"/>
      <c r="K128" s="31" t="s">
        <v>27</v>
      </c>
      <c r="L128" s="32">
        <v>1</v>
      </c>
      <c r="M128" s="31" t="s">
        <v>205</v>
      </c>
      <c r="N128" s="33">
        <v>0</v>
      </c>
      <c r="O128" s="51" cm="1">
        <f t="array" aca="1" ref="O128" ca="1">IF(K128="SI",IF(N128&lt;&gt;0,(INDIRECT(M128)*N128)/L128,0),0)</f>
        <v>0</v>
      </c>
      <c r="P128" s="51" cm="1">
        <f t="array" aca="1" ref="P128" ca="1">IF(N128&lt;&gt;0,(INDIRECT(M128)*N128)/L128,0)</f>
        <v>0</v>
      </c>
      <c r="Q128" s="38">
        <v>3</v>
      </c>
      <c r="R128" s="8"/>
      <c r="S128" s="8"/>
      <c r="T128" s="8"/>
    </row>
    <row r="129" spans="1:20" s="56" customFormat="1" hidden="1" outlineLevel="4">
      <c r="A129" s="43">
        <v>0</v>
      </c>
      <c r="B129" s="41" t="s">
        <v>38</v>
      </c>
      <c r="C129" s="41" t="s">
        <v>60</v>
      </c>
      <c r="D129" s="25" t="str">
        <f t="shared" ref="D129:D375" si="98">IFERROR(VLOOKUP(C129,Todos,2,FALSE),"")</f>
        <v></v>
      </c>
      <c r="E129" s="42" t="s">
        <v>222</v>
      </c>
      <c r="F129" s="43">
        <v>10</v>
      </c>
      <c r="G129" s="28">
        <f t="shared" si="95"/>
        <v>45199.437500000036</v>
      </c>
      <c r="H129" s="28">
        <f t="shared" si="69"/>
        <v>45199.444444444482</v>
      </c>
      <c r="I129" s="29"/>
      <c r="J129" s="30">
        <v>0.7</v>
      </c>
      <c r="K129" s="31"/>
      <c r="L129" s="32"/>
      <c r="M129" s="31"/>
      <c r="N129" s="33"/>
      <c r="O129" s="51" cm="1">
        <f t="array" aca="1" ref="O129" ca="1">IF(K129="SI",IF(N129&lt;&gt;0,(INDIRECT(M129)*N129)/L129,0),0)</f>
        <v>0</v>
      </c>
      <c r="P129" s="51" cm="1">
        <f t="array" aca="1" ref="P129" ca="1">IF(N129&lt;&gt;0,(INDIRECT(M129)*N129)/L129,0)</f>
        <v>0</v>
      </c>
      <c r="Q129" s="38">
        <v>3</v>
      </c>
      <c r="R129" s="8"/>
      <c r="S129" s="8"/>
      <c r="T129" s="8"/>
    </row>
    <row r="130" spans="1:20" s="56" customFormat="1" hidden="1" outlineLevel="4">
      <c r="A130" s="43">
        <v>0</v>
      </c>
      <c r="B130" s="41" t="s">
        <v>62</v>
      </c>
      <c r="C130" s="41" t="s">
        <v>119</v>
      </c>
      <c r="D130" s="25" t="str">
        <f t="shared" ref="D130:D376" si="99">IFERROR(VLOOKUP(C130,Todos,2,FALSE),"")</f>
        <v></v>
      </c>
      <c r="E130" s="42" t="s">
        <v>223</v>
      </c>
      <c r="F130" s="43">
        <v>40</v>
      </c>
      <c r="G130" s="28">
        <f t="shared" si="95"/>
        <v>45199.444444444482</v>
      </c>
      <c r="H130" s="28">
        <f t="shared" si="69"/>
        <v>45199.472222222263</v>
      </c>
      <c r="I130" s="29" t="s">
        <v>224</v>
      </c>
      <c r="J130" s="30"/>
      <c r="K130" s="31" t="s">
        <v>27</v>
      </c>
      <c r="L130" s="32">
        <v>1</v>
      </c>
      <c r="M130" s="31" t="s">
        <v>205</v>
      </c>
      <c r="N130" s="33">
        <v>0</v>
      </c>
      <c r="O130" s="51" cm="1">
        <f t="array" aca="1" ref="O130" ca="1">IF(K130="SI",IF(N130&lt;&gt;0,(INDIRECT(M130)*N130)/L130,0),0)</f>
        <v>0</v>
      </c>
      <c r="P130" s="51" cm="1">
        <f t="array" aca="1" ref="P130" ca="1">IF(N130&lt;&gt;0,(INDIRECT(M130)*N130)/L130,0)</f>
        <v>0</v>
      </c>
      <c r="Q130" s="38">
        <v>3</v>
      </c>
      <c r="R130" s="8"/>
      <c r="S130" s="8"/>
      <c r="T130" s="8"/>
    </row>
    <row r="131" spans="1:20" s="56" customFormat="1" hidden="1" outlineLevel="4">
      <c r="A131" s="43">
        <v>0</v>
      </c>
      <c r="B131" s="41" t="s">
        <v>38</v>
      </c>
      <c r="C131" s="41" t="s">
        <v>60</v>
      </c>
      <c r="D131" s="25" t="str">
        <f t="shared" ref="D131:D377" si="100">IFERROR(VLOOKUP(C131,Todos,2,FALSE),"")</f>
        <v></v>
      </c>
      <c r="E131" s="42" t="s">
        <v>225</v>
      </c>
      <c r="F131" s="43">
        <v>10</v>
      </c>
      <c r="G131" s="28">
        <f t="shared" si="95"/>
        <v>45199.472222222263</v>
      </c>
      <c r="H131" s="28">
        <f t="shared" si="69"/>
        <v>45199.479166666708</v>
      </c>
      <c r="I131" s="29"/>
      <c r="J131" s="30">
        <v>0.7</v>
      </c>
      <c r="K131" s="31"/>
      <c r="L131" s="32"/>
      <c r="M131" s="31"/>
      <c r="N131" s="33"/>
      <c r="O131" s="51" cm="1">
        <f t="array" aca="1" ref="O131" ca="1">IF(K131="SI",IF(N131&lt;&gt;0,(INDIRECT(M131)*N131)/L131,0),0)</f>
        <v>0</v>
      </c>
      <c r="P131" s="51" cm="1">
        <f t="array" aca="1" ref="P131" ca="1">IF(N131&lt;&gt;0,(INDIRECT(M131)*N131)/L131,0)</f>
        <v>0</v>
      </c>
      <c r="Q131" s="38">
        <v>3</v>
      </c>
      <c r="R131" s="8"/>
      <c r="S131" s="8"/>
      <c r="T131" s="8"/>
    </row>
    <row r="132" spans="1:20" s="56" customFormat="1" hidden="1" outlineLevel="4">
      <c r="A132" s="43">
        <v>0</v>
      </c>
      <c r="B132" s="41" t="s">
        <v>38</v>
      </c>
      <c r="C132" s="41" t="s">
        <v>77</v>
      </c>
      <c r="D132" s="25" t="str">
        <f t="shared" ref="D132:D378" si="101">IFERROR(VLOOKUP(C132,Todos,2,FALSE),"")</f>
        <v></v>
      </c>
      <c r="E132" s="42" t="s">
        <v>226</v>
      </c>
      <c r="F132" s="43">
        <v>30</v>
      </c>
      <c r="G132" s="28">
        <f t="shared" si="95"/>
        <v>45199.479166666708</v>
      </c>
      <c r="H132" s="28">
        <f t="shared" si="69"/>
        <v>45199.500000000044</v>
      </c>
      <c r="I132" s="29"/>
      <c r="J132" s="30"/>
      <c r="K132" s="31" t="s">
        <v>58</v>
      </c>
      <c r="L132" s="32">
        <v>1</v>
      </c>
      <c r="M132" s="31" t="s">
        <v>205</v>
      </c>
      <c r="N132" s="33">
        <v>2</v>
      </c>
      <c r="O132" s="51" cm="1">
        <f t="array" aca="1" ref="O132" ca="1">IF(K132="SI",IF(N132&lt;&gt;0,(INDIRECT(M132)*N132)/L132,0),0)</f>
        <v>0</v>
      </c>
      <c r="P132" s="51" t="e" cm="1">
        <f t="array" aca="1" ref="P132" ca="1">IF(N132&lt;&gt;0,(INDIRECT(M132)*N132)/L132,0)</f>
        <v>#REF!</v>
      </c>
      <c r="Q132" s="38">
        <v>3</v>
      </c>
      <c r="R132" s="8"/>
      <c r="S132" s="8"/>
      <c r="T132" s="8"/>
    </row>
    <row r="133" spans="1:20" s="56" customFormat="1" ht="21" hidden="1" outlineLevel="4">
      <c r="A133" s="43">
        <v>0</v>
      </c>
      <c r="B133" s="41" t="s">
        <v>62</v>
      </c>
      <c r="C133" s="41" t="s">
        <v>119</v>
      </c>
      <c r="D133" s="25" t="str">
        <f>IFERROR(VLOOKUP(C133,Todos,2,FALSE),"")</f>
        <v></v>
      </c>
      <c r="E133" s="42" t="s">
        <v>227</v>
      </c>
      <c r="F133" s="43">
        <v>20</v>
      </c>
      <c r="G133" s="28">
        <f t="shared" si="95"/>
        <v>45199.500000000044</v>
      </c>
      <c r="H133" s="28">
        <f t="shared" si="69"/>
        <v>45199.513888888934</v>
      </c>
      <c r="I133" s="29" t="s">
        <v>228</v>
      </c>
      <c r="J133" s="30"/>
      <c r="K133" s="31" t="s">
        <v>27</v>
      </c>
      <c r="L133" s="32">
        <v>1</v>
      </c>
      <c r="M133" s="31" t="s">
        <v>205</v>
      </c>
      <c r="N133" s="33">
        <v>0</v>
      </c>
      <c r="O133" s="51" cm="1">
        <f t="array" aca="1" ref="O133" ca="1">IF(K133="SI",IF(N133&lt;&gt;0,(INDIRECT(M133)*N133)/L133,0),0)</f>
        <v>0</v>
      </c>
      <c r="P133" s="51" cm="1">
        <f t="array" aca="1" ref="P133" ca="1">IF(N133&lt;&gt;0,(INDIRECT(M133)*N133)/L133,0)</f>
        <v>0</v>
      </c>
      <c r="Q133" s="38">
        <v>3</v>
      </c>
      <c r="R133" s="8"/>
      <c r="S133" s="8"/>
      <c r="T133" s="8"/>
    </row>
    <row r="134" spans="1:20" s="56" customFormat="1" hidden="1" outlineLevel="4">
      <c r="A134" s="43">
        <v>0</v>
      </c>
      <c r="B134" s="41" t="s">
        <v>38</v>
      </c>
      <c r="C134" s="41" t="s">
        <v>60</v>
      </c>
      <c r="D134" s="25" t="str">
        <f t="shared" ref="D134" si="102">IFERROR(VLOOKUP(C134,Todos,2,FALSE),"")</f>
        <v></v>
      </c>
      <c r="E134" s="42" t="s">
        <v>229</v>
      </c>
      <c r="F134" s="43">
        <v>10</v>
      </c>
      <c r="G134" s="28">
        <f t="shared" si="95"/>
        <v>45199.513888888934</v>
      </c>
      <c r="H134" s="28">
        <f t="shared" si="69"/>
        <v>45199.520833333379</v>
      </c>
      <c r="I134" s="29"/>
      <c r="J134" s="30">
        <v>0.5</v>
      </c>
      <c r="K134" s="31"/>
      <c r="L134" s="32"/>
      <c r="M134" s="31"/>
      <c r="N134" s="33"/>
      <c r="O134" s="51" cm="1">
        <f t="array" aca="1" ref="O134" ca="1">IF(K134="SI",IF(N134&lt;&gt;0,(INDIRECT(M134)*N134)/L134,0),0)</f>
        <v>0</v>
      </c>
      <c r="P134" s="51" cm="1">
        <f t="array" aca="1" ref="P134" ca="1">IF(N134&lt;&gt;0,(INDIRECT(M134)*N134)/L134,0)</f>
        <v>0</v>
      </c>
      <c r="Q134" s="38">
        <v>3</v>
      </c>
      <c r="R134" s="8"/>
      <c r="S134" s="8"/>
      <c r="T134" s="8"/>
    </row>
    <row r="135" spans="1:20" s="56" customFormat="1" ht="21" hidden="1" outlineLevel="4">
      <c r="A135" s="43">
        <v>0</v>
      </c>
      <c r="B135" s="41" t="s">
        <v>62</v>
      </c>
      <c r="C135" s="41" t="s">
        <v>119</v>
      </c>
      <c r="D135" s="25" t="str">
        <f>IFERROR(VLOOKUP(C135,Todos,2,FALSE),"")</f>
        <v></v>
      </c>
      <c r="E135" s="42" t="s">
        <v>230</v>
      </c>
      <c r="F135" s="43">
        <v>20</v>
      </c>
      <c r="G135" s="28">
        <f t="shared" si="95"/>
        <v>45199.520833333379</v>
      </c>
      <c r="H135" s="28">
        <f t="shared" si="69"/>
        <v>45199.53472222227</v>
      </c>
      <c r="I135" s="29" t="s">
        <v>228</v>
      </c>
      <c r="J135" s="30"/>
      <c r="K135" s="31" t="s">
        <v>27</v>
      </c>
      <c r="L135" s="32">
        <v>1</v>
      </c>
      <c r="M135" s="31" t="s">
        <v>205</v>
      </c>
      <c r="N135" s="33">
        <v>0</v>
      </c>
      <c r="O135" s="51" cm="1">
        <f t="array" aca="1" ref="O135" ca="1">IF(K135="SI",IF(N135&lt;&gt;0,(INDIRECT(M135)*N135)/L135,0),0)</f>
        <v>0</v>
      </c>
      <c r="P135" s="51" cm="1">
        <f t="array" aca="1" ref="P135" ca="1">IF(N135&lt;&gt;0,(INDIRECT(M135)*N135)/L135,0)</f>
        <v>0</v>
      </c>
      <c r="Q135" s="38">
        <v>3</v>
      </c>
      <c r="R135" s="8"/>
      <c r="S135" s="8"/>
      <c r="T135" s="8"/>
    </row>
    <row r="136" spans="1:20" s="56" customFormat="1" hidden="1" outlineLevel="4">
      <c r="A136" s="43">
        <v>0</v>
      </c>
      <c r="B136" s="41" t="s">
        <v>38</v>
      </c>
      <c r="C136" s="41" t="s">
        <v>60</v>
      </c>
      <c r="D136" s="25" t="str">
        <f t="shared" ref="D136" si="103">IFERROR(VLOOKUP(C136,Todos,2,FALSE),"")</f>
        <v></v>
      </c>
      <c r="E136" s="42" t="s">
        <v>231</v>
      </c>
      <c r="F136" s="43">
        <v>10</v>
      </c>
      <c r="G136" s="28">
        <f t="shared" si="95"/>
        <v>45199.53472222227</v>
      </c>
      <c r="H136" s="28">
        <f t="shared" si="69"/>
        <v>45199.541666666715</v>
      </c>
      <c r="I136" s="29"/>
      <c r="J136" s="30">
        <v>0.5</v>
      </c>
      <c r="K136" s="31"/>
      <c r="L136" s="32"/>
      <c r="M136" s="31"/>
      <c r="N136" s="33"/>
      <c r="O136" s="51" cm="1">
        <f t="array" aca="1" ref="O136" ca="1">IF(K136="SI",IF(N136&lt;&gt;0,(INDIRECT(M136)*N136)/L136,0),0)</f>
        <v>0</v>
      </c>
      <c r="P136" s="51" cm="1">
        <f t="array" aca="1" ref="P136" ca="1">IF(N136&lt;&gt;0,(INDIRECT(M136)*N136)/L136,0)</f>
        <v>0</v>
      </c>
      <c r="Q136" s="38">
        <v>3</v>
      </c>
      <c r="R136" s="8"/>
      <c r="S136" s="8"/>
      <c r="T136" s="8"/>
    </row>
    <row r="137" spans="1:20" s="56" customFormat="1" hidden="1" outlineLevel="4">
      <c r="A137" s="43">
        <v>0</v>
      </c>
      <c r="B137" s="41" t="s">
        <v>62</v>
      </c>
      <c r="C137" s="41" t="s">
        <v>119</v>
      </c>
      <c r="D137" s="25" t="str">
        <f>IFERROR(VLOOKUP(C137,Todos,2,FALSE),"")</f>
        <v></v>
      </c>
      <c r="E137" s="42" t="s">
        <v>232</v>
      </c>
      <c r="F137" s="43">
        <v>20</v>
      </c>
      <c r="G137" s="28">
        <f t="shared" si="95"/>
        <v>45199.541666666715</v>
      </c>
      <c r="H137" s="28">
        <f t="shared" si="69"/>
        <v>45199.555555555606</v>
      </c>
      <c r="I137" s="29" t="s">
        <v>228</v>
      </c>
      <c r="J137" s="30"/>
      <c r="K137" s="31" t="s">
        <v>27</v>
      </c>
      <c r="L137" s="32">
        <v>1</v>
      </c>
      <c r="M137" s="31" t="s">
        <v>205</v>
      </c>
      <c r="N137" s="33">
        <v>0</v>
      </c>
      <c r="O137" s="51" cm="1">
        <f t="array" aca="1" ref="O137" ca="1">IF(K137="SI",IF(N137&lt;&gt;0,(INDIRECT(M137)*N137)/L137,0),0)</f>
        <v>0</v>
      </c>
      <c r="P137" s="51" cm="1">
        <f t="array" aca="1" ref="P137" ca="1">IF(N137&lt;&gt;0,(INDIRECT(M137)*N137)/L137,0)</f>
        <v>0</v>
      </c>
      <c r="Q137" s="38">
        <v>3</v>
      </c>
      <c r="R137" s="8"/>
      <c r="S137" s="8"/>
      <c r="T137" s="8"/>
    </row>
    <row r="138" spans="1:20" s="56" customFormat="1" hidden="1" outlineLevel="4">
      <c r="A138" s="43">
        <v>0</v>
      </c>
      <c r="B138" s="41" t="s">
        <v>38</v>
      </c>
      <c r="C138" s="41" t="s">
        <v>60</v>
      </c>
      <c r="D138" s="25" t="str">
        <f t="shared" ref="D138:D384" si="104">IFERROR(VLOOKUP(C138,Todos,2,FALSE),"")</f>
        <v></v>
      </c>
      <c r="E138" s="42" t="s">
        <v>233</v>
      </c>
      <c r="F138" s="43">
        <v>10</v>
      </c>
      <c r="G138" s="28">
        <f t="shared" si="95"/>
        <v>45199.555555555606</v>
      </c>
      <c r="H138" s="28">
        <f t="shared" si="69"/>
        <v>45199.562500000051</v>
      </c>
      <c r="I138" s="29"/>
      <c r="J138" s="30">
        <v>0.5</v>
      </c>
      <c r="K138" s="31"/>
      <c r="L138" s="32"/>
      <c r="M138" s="31"/>
      <c r="N138" s="33"/>
      <c r="O138" s="51" cm="1">
        <f t="array" aca="1" ref="O138" ca="1">IF(K138="SI",IF(N138&lt;&gt;0,(INDIRECT(M138)*N138)/L138,0),0)</f>
        <v>0</v>
      </c>
      <c r="P138" s="51" cm="1">
        <f t="array" aca="1" ref="P138" ca="1">IF(N138&lt;&gt;0,(INDIRECT(M138)*N138)/L138,0)</f>
        <v>0</v>
      </c>
      <c r="Q138" s="38">
        <v>3</v>
      </c>
      <c r="R138" s="8"/>
      <c r="S138" s="8"/>
      <c r="T138" s="8"/>
    </row>
    <row r="139" spans="1:20" s="56" customFormat="1" hidden="1" outlineLevel="4">
      <c r="A139" s="43">
        <v>0</v>
      </c>
      <c r="B139" s="41" t="s">
        <v>71</v>
      </c>
      <c r="C139" s="41" t="s">
        <v>95</v>
      </c>
      <c r="D139" s="25" t="str">
        <f>IFERROR(VLOOKUP(C139,Todos,2,FALSE),"")</f>
        <v></v>
      </c>
      <c r="E139" s="42" t="s">
        <v>234</v>
      </c>
      <c r="F139" s="43">
        <v>60</v>
      </c>
      <c r="G139" s="28">
        <f t="shared" si="95"/>
        <v>45199.562500000051</v>
      </c>
      <c r="H139" s="28">
        <f t="shared" si="69"/>
        <v>45199.604166666715</v>
      </c>
      <c r="I139" s="29" t="s">
        <v>235</v>
      </c>
      <c r="J139" s="30"/>
      <c r="K139" s="31" t="s">
        <v>58</v>
      </c>
      <c r="L139" s="32">
        <v>1</v>
      </c>
      <c r="M139" s="31" t="s">
        <v>205</v>
      </c>
      <c r="N139" s="33">
        <v>40</v>
      </c>
      <c r="O139" s="51" cm="1">
        <f t="array" aca="1" ref="O139" ca="1">IF(K139="SI",IF(N139&lt;&gt;0,(INDIRECT(M139)*N139)/L139,0),0)</f>
        <v>0</v>
      </c>
      <c r="P139" s="51" t="e" cm="1">
        <f t="array" aca="1" ref="P139" ca="1">IF(N139&lt;&gt;0,(INDIRECT(M139)*N139)/L139,0)</f>
        <v>#REF!</v>
      </c>
      <c r="Q139" s="38">
        <v>3</v>
      </c>
      <c r="R139" s="8"/>
      <c r="S139" s="8"/>
      <c r="T139" s="8"/>
    </row>
    <row r="140" spans="1:20" s="56" customFormat="1" hidden="1" outlineLevel="4">
      <c r="A140" s="43">
        <v>0</v>
      </c>
      <c r="B140" s="41" t="s">
        <v>38</v>
      </c>
      <c r="C140" s="41" t="s">
        <v>60</v>
      </c>
      <c r="D140" s="25" t="str">
        <f>IFERROR(VLOOKUP(C140,Todos,2,FALSE),"")</f>
        <v></v>
      </c>
      <c r="E140" s="42" t="s">
        <v>236</v>
      </c>
      <c r="F140" s="43">
        <v>10</v>
      </c>
      <c r="G140" s="28">
        <f t="shared" si="95"/>
        <v>45199.604166666715</v>
      </c>
      <c r="H140" s="28">
        <f t="shared" si="69"/>
        <v>45199.61111111116</v>
      </c>
      <c r="I140" s="29"/>
      <c r="J140" s="30">
        <v>0.5</v>
      </c>
      <c r="K140" s="31"/>
      <c r="L140" s="32"/>
      <c r="M140" s="31"/>
      <c r="N140" s="33"/>
      <c r="O140" s="51" cm="1">
        <f t="array" aca="1" ref="O140" ca="1">IF(K140="SI",IF(N140&lt;&gt;0,(INDIRECT(M140)*N140)/L140,0),0)</f>
        <v>0</v>
      </c>
      <c r="P140" s="51" cm="1">
        <f t="array" aca="1" ref="P140" ca="1">IF(N140&lt;&gt;0,(INDIRECT(M140)*N140)/L140,0)</f>
        <v>0</v>
      </c>
      <c r="Q140" s="38">
        <v>3</v>
      </c>
      <c r="R140" s="8"/>
      <c r="S140" s="8"/>
      <c r="T140" s="8"/>
    </row>
    <row r="141" spans="1:20" s="56" customFormat="1" ht="21" hidden="1" outlineLevel="4">
      <c r="A141" s="43">
        <v>0</v>
      </c>
      <c r="B141" s="41" t="s">
        <v>62</v>
      </c>
      <c r="C141" s="41" t="s">
        <v>80</v>
      </c>
      <c r="D141" s="25" t="str">
        <f t="shared" ref="D141:D387" si="105">IFERROR(VLOOKUP(C141,Todos,2,FALSE),"")</f>
        <v></v>
      </c>
      <c r="E141" s="42" t="s">
        <v>237</v>
      </c>
      <c r="F141" s="43">
        <v>20</v>
      </c>
      <c r="G141" s="28">
        <f t="shared" si="95"/>
        <v>45199.61111111116</v>
      </c>
      <c r="H141" s="28">
        <f t="shared" si="69"/>
        <v>45199.625000000051</v>
      </c>
      <c r="I141" s="29" t="s">
        <v>228</v>
      </c>
      <c r="J141" s="30"/>
      <c r="K141" s="31" t="s">
        <v>27</v>
      </c>
      <c r="L141" s="32">
        <v>1</v>
      </c>
      <c r="M141" s="31" t="s">
        <v>205</v>
      </c>
      <c r="N141" s="33">
        <v>0</v>
      </c>
      <c r="O141" s="51" cm="1">
        <f t="array" aca="1" ref="O141" ca="1">IF(K141="SI",IF(N141&lt;&gt;0,(INDIRECT(M141)*N141)/L141,0),0)</f>
        <v>0</v>
      </c>
      <c r="P141" s="51" cm="1">
        <f t="array" aca="1" ref="P141" ca="1">IF(N141&lt;&gt;0,(INDIRECT(M141)*N141)/L141,0)</f>
        <v>0</v>
      </c>
      <c r="Q141" s="38">
        <v>3</v>
      </c>
      <c r="R141" s="8"/>
      <c r="S141" s="8"/>
      <c r="T141" s="8"/>
    </row>
    <row r="142" spans="1:20" s="56" customFormat="1" hidden="1" outlineLevel="4">
      <c r="A142" s="43">
        <v>0</v>
      </c>
      <c r="B142" s="41" t="s">
        <v>38</v>
      </c>
      <c r="C142" s="41" t="s">
        <v>60</v>
      </c>
      <c r="D142" s="25" t="str">
        <f t="shared" ref="D142:D388" si="106">IFERROR(VLOOKUP(C142,Todos,2,FALSE),"")</f>
        <v></v>
      </c>
      <c r="E142" s="42" t="s">
        <v>238</v>
      </c>
      <c r="F142" s="43">
        <v>20</v>
      </c>
      <c r="G142" s="28">
        <f t="shared" si="95"/>
        <v>45199.625000000051</v>
      </c>
      <c r="H142" s="28">
        <f t="shared" si="69"/>
        <v>45199.638888888941</v>
      </c>
      <c r="I142" s="29"/>
      <c r="J142" s="30">
        <v>1.2</v>
      </c>
      <c r="K142" s="31"/>
      <c r="L142" s="32"/>
      <c r="M142" s="31"/>
      <c r="N142" s="33"/>
      <c r="O142" s="51" cm="1">
        <f t="array" aca="1" ref="O142" ca="1">IF(K142="SI",IF(N142&lt;&gt;0,(INDIRECT(M142)*N142)/L142,0),0)</f>
        <v>0</v>
      </c>
      <c r="P142" s="51" cm="1">
        <f t="array" aca="1" ref="P142" ca="1">IF(N142&lt;&gt;0,(INDIRECT(M142)*N142)/L142,0)</f>
        <v>0</v>
      </c>
      <c r="Q142" s="38">
        <v>3</v>
      </c>
      <c r="R142" s="8"/>
      <c r="S142" s="8"/>
      <c r="T142" s="8"/>
    </row>
    <row r="143" spans="1:20" s="56" customFormat="1" ht="21" hidden="1" outlineLevel="4">
      <c r="A143" s="43">
        <v>0</v>
      </c>
      <c r="B143" s="41" t="s">
        <v>62</v>
      </c>
      <c r="C143" s="41" t="s">
        <v>119</v>
      </c>
      <c r="D143" s="25" t="str">
        <f t="shared" ref="D143:D389" si="107">IFERROR(VLOOKUP(C143,Todos,2,FALSE),"")</f>
        <v></v>
      </c>
      <c r="E143" s="42" t="s">
        <v>239</v>
      </c>
      <c r="F143" s="43">
        <v>20</v>
      </c>
      <c r="G143" s="28">
        <f t="shared" si="95"/>
        <v>45199.638888888941</v>
      </c>
      <c r="H143" s="28">
        <f t="shared" si="69"/>
        <v>45199.652777777832</v>
      </c>
      <c r="I143" s="29" t="s">
        <v>228</v>
      </c>
      <c r="J143" s="30"/>
      <c r="K143" s="31" t="s">
        <v>27</v>
      </c>
      <c r="L143" s="32">
        <v>1</v>
      </c>
      <c r="M143" s="31" t="s">
        <v>205</v>
      </c>
      <c r="N143" s="33">
        <v>0</v>
      </c>
      <c r="O143" s="51" cm="1">
        <f t="array" aca="1" ref="O143" ca="1">IF(K143="SI",IF(N143&lt;&gt;0,(INDIRECT(M143)*N143)/L143,0),0)</f>
        <v>0</v>
      </c>
      <c r="P143" s="51" cm="1">
        <f t="array" aca="1" ref="P143" ca="1">IF(N143&lt;&gt;0,(INDIRECT(M143)*N143)/L143,0)</f>
        <v>0</v>
      </c>
      <c r="Q143" s="38">
        <v>3</v>
      </c>
      <c r="R143" s="8"/>
      <c r="S143" s="8"/>
      <c r="T143" s="8"/>
    </row>
    <row r="144" spans="1:20" s="56" customFormat="1" hidden="1" outlineLevel="4">
      <c r="A144" s="43">
        <v>0</v>
      </c>
      <c r="B144" s="41" t="s">
        <v>38</v>
      </c>
      <c r="C144" s="41" t="s">
        <v>60</v>
      </c>
      <c r="D144" s="25" t="str">
        <f t="shared" ref="D144:D390" si="108">IFERROR(VLOOKUP(C144,Todos,2,FALSE),"")</f>
        <v></v>
      </c>
      <c r="E144" s="42" t="s">
        <v>240</v>
      </c>
      <c r="F144" s="43">
        <v>120</v>
      </c>
      <c r="G144" s="28">
        <f t="shared" si="95"/>
        <v>45199.652777777832</v>
      </c>
      <c r="H144" s="28">
        <f t="shared" si="69"/>
        <v>45199.736111111168</v>
      </c>
      <c r="I144" s="29" t="s">
        <v>241</v>
      </c>
      <c r="J144" s="30">
        <v>8.1999999999999993</v>
      </c>
      <c r="K144" s="31"/>
      <c r="L144" s="32"/>
      <c r="M144" s="31"/>
      <c r="N144" s="33"/>
      <c r="O144" s="51" cm="1">
        <f t="array" aca="1" ref="O144" ca="1">IF(K144="SI",IF(N144&lt;&gt;0,(INDIRECT(M144)*N144)/L144,0),0)</f>
        <v>0</v>
      </c>
      <c r="P144" s="51" cm="1">
        <f t="array" aca="1" ref="P144" ca="1">IF(N144&lt;&gt;0,(INDIRECT(M144)*N144)/L144,0)</f>
        <v>0</v>
      </c>
      <c r="Q144" s="38">
        <v>3</v>
      </c>
      <c r="R144" s="8"/>
      <c r="S144" s="8"/>
      <c r="T144" s="8"/>
    </row>
    <row r="145" spans="1:20" s="56" customFormat="1" hidden="1" outlineLevel="4">
      <c r="A145" s="43">
        <v>0</v>
      </c>
      <c r="B145" s="41" t="s">
        <v>62</v>
      </c>
      <c r="C145" s="41" t="s">
        <v>171</v>
      </c>
      <c r="D145" s="25" t="str">
        <f t="shared" ref="D145:D391" si="109">IFERROR(VLOOKUP(C145,Todos,2,FALSE),"")</f>
        <v></v>
      </c>
      <c r="E145" s="42" t="s">
        <v>242</v>
      </c>
      <c r="F145" s="43">
        <v>80</v>
      </c>
      <c r="G145" s="28">
        <f t="shared" si="95"/>
        <v>45199.736111111168</v>
      </c>
      <c r="H145" s="28">
        <f t="shared" si="69"/>
        <v>45199.791666666722</v>
      </c>
      <c r="I145" s="29" t="s">
        <v>228</v>
      </c>
      <c r="J145" s="30"/>
      <c r="K145" s="31" t="s">
        <v>27</v>
      </c>
      <c r="L145" s="32">
        <v>1</v>
      </c>
      <c r="M145" s="31" t="s">
        <v>205</v>
      </c>
      <c r="N145" s="33">
        <v>0</v>
      </c>
      <c r="O145" s="51" cm="1">
        <f t="array" aca="1" ref="O145" ca="1">IF(K145="SI",IF(N145&lt;&gt;0,(INDIRECT(M145)*N145)/L145,0),0)</f>
        <v>0</v>
      </c>
      <c r="P145" s="51" cm="1">
        <f t="array" aca="1" ref="P145" ca="1">IF(N145&lt;&gt;0,(INDIRECT(M145)*N145)/L145,0)</f>
        <v>0</v>
      </c>
      <c r="Q145" s="38">
        <v>3</v>
      </c>
      <c r="R145" s="8"/>
      <c r="S145" s="8"/>
      <c r="T145" s="8"/>
    </row>
    <row r="146" spans="1:20" s="56" customFormat="1" hidden="1" outlineLevel="4">
      <c r="A146" s="43">
        <v>0</v>
      </c>
      <c r="B146" s="41" t="s">
        <v>38</v>
      </c>
      <c r="C146" s="41" t="s">
        <v>60</v>
      </c>
      <c r="D146" s="25" t="str">
        <f t="shared" ref="D146:D392" si="110">IFERROR(VLOOKUP(C146,Todos,2,FALSE),"")</f>
        <v></v>
      </c>
      <c r="E146" s="42" t="s">
        <v>243</v>
      </c>
      <c r="F146" s="43">
        <v>10</v>
      </c>
      <c r="G146" s="28">
        <f t="shared" si="95"/>
        <v>45199.791666666722</v>
      </c>
      <c r="H146" s="28">
        <f t="shared" si="69"/>
        <v>45199.798611111168</v>
      </c>
      <c r="I146" s="29"/>
      <c r="J146" s="30">
        <v>0.7</v>
      </c>
      <c r="K146" s="31"/>
      <c r="L146" s="32"/>
      <c r="M146" s="31"/>
      <c r="N146" s="33"/>
      <c r="O146" s="51" cm="1">
        <f t="array" aca="1" ref="O146" ca="1">IF(K146="SI",IF(N146&lt;&gt;0,(INDIRECT(M146)*N146)/L146,0),0)</f>
        <v>0</v>
      </c>
      <c r="P146" s="51" cm="1">
        <f t="array" aca="1" ref="P146" ca="1">IF(N146&lt;&gt;0,(INDIRECT(M146)*N146)/L146,0)</f>
        <v>0</v>
      </c>
      <c r="Q146" s="38">
        <v>3</v>
      </c>
      <c r="R146" s="8"/>
      <c r="S146" s="8"/>
      <c r="T146" s="8"/>
    </row>
    <row r="147" spans="1:20" s="56" customFormat="1" hidden="1" outlineLevel="4">
      <c r="A147" s="43">
        <v>0</v>
      </c>
      <c r="B147" s="41" t="s">
        <v>71</v>
      </c>
      <c r="C147" s="41" t="s">
        <v>72</v>
      </c>
      <c r="D147" s="25" t="str">
        <f>IFERROR(VLOOKUP(C147,Todos,2,FALSE),"")</f>
        <v></v>
      </c>
      <c r="E147" s="42" t="s">
        <v>244</v>
      </c>
      <c r="F147" s="43">
        <v>60</v>
      </c>
      <c r="G147" s="28">
        <f t="shared" si="95"/>
        <v>45199.798611111168</v>
      </c>
      <c r="H147" s="28">
        <f t="shared" si="69"/>
        <v>45199.840277777832</v>
      </c>
      <c r="I147" s="29" t="s">
        <v>245</v>
      </c>
      <c r="J147" s="30"/>
      <c r="K147" s="31" t="s">
        <v>58</v>
      </c>
      <c r="L147" s="32">
        <v>1</v>
      </c>
      <c r="M147" s="31" t="s">
        <v>205</v>
      </c>
      <c r="N147" s="33">
        <v>15</v>
      </c>
      <c r="O147" s="51" cm="1">
        <f t="array" aca="1" ref="O147" ca="1">IF(K147="SI",IF(N147&lt;&gt;0,(INDIRECT(M147)*N147)/L147,0),0)</f>
        <v>0</v>
      </c>
      <c r="P147" s="51" t="e" cm="1">
        <f t="array" aca="1" ref="P147" ca="1">IF(N147&lt;&gt;0,(INDIRECT(M147)*N147)/L147,0)</f>
        <v>#REF!</v>
      </c>
      <c r="Q147" s="38">
        <v>3</v>
      </c>
      <c r="R147" s="8"/>
      <c r="S147" s="8"/>
      <c r="T147" s="8"/>
    </row>
    <row r="148" spans="1:20" s="56" customFormat="1" hidden="1" outlineLevel="4">
      <c r="A148" s="43">
        <v>0</v>
      </c>
      <c r="B148" s="41" t="s">
        <v>24</v>
      </c>
      <c r="C148" s="41" t="s">
        <v>35</v>
      </c>
      <c r="D148" s="25" t="str">
        <f t="shared" ref="D148:D394" si="111">IFERROR(VLOOKUP(C148,Todos,2,FALSE),"")</f>
        <v></v>
      </c>
      <c r="E148" s="42" t="s">
        <v>246</v>
      </c>
      <c r="F148" s="43">
        <v>90</v>
      </c>
      <c r="G148" s="28">
        <f t="shared" si="95"/>
        <v>45199.840277777832</v>
      </c>
      <c r="H148" s="28">
        <f t="shared" si="69"/>
        <v>45199.902777777832</v>
      </c>
      <c r="I148" s="29" t="s">
        <v>247</v>
      </c>
      <c r="J148" s="30"/>
      <c r="K148" s="31"/>
      <c r="L148" s="32"/>
      <c r="M148" s="31"/>
      <c r="N148" s="33"/>
      <c r="O148" s="51" cm="1">
        <f t="array" aca="1" ref="O148" ca="1">IF(K148="SI",IF(N148&lt;&gt;0,(INDIRECT(M148)*N148)/L148,0),0)</f>
        <v>0</v>
      </c>
      <c r="P148" s="51" cm="1">
        <f t="array" aca="1" ref="P148" ca="1">IF(N148&lt;&gt;0,(INDIRECT(M148)*N148)/L148,0)</f>
        <v>0</v>
      </c>
      <c r="Q148" s="38">
        <v>3</v>
      </c>
      <c r="R148" s="8"/>
      <c r="S148" s="8"/>
      <c r="T148" s="8"/>
    </row>
    <row r="149" spans="1:20" s="56" customFormat="1" hidden="1" outlineLevel="4">
      <c r="A149" s="43">
        <v>0</v>
      </c>
      <c r="B149" s="41" t="s">
        <v>38</v>
      </c>
      <c r="C149" s="41" t="s">
        <v>77</v>
      </c>
      <c r="D149" s="25" t="str">
        <f>IFERROR(VLOOKUP(C149,Todos,2,FALSE),"")</f>
        <v></v>
      </c>
      <c r="E149" s="42" t="s">
        <v>248</v>
      </c>
      <c r="F149" s="43">
        <v>30</v>
      </c>
      <c r="G149" s="28">
        <f t="shared" si="95"/>
        <v>45199.902777777832</v>
      </c>
      <c r="H149" s="28">
        <f t="shared" si="69"/>
        <v>45199.923611111168</v>
      </c>
      <c r="I149" s="29"/>
      <c r="J149" s="30"/>
      <c r="K149" s="31" t="s">
        <v>58</v>
      </c>
      <c r="L149" s="32">
        <v>1</v>
      </c>
      <c r="M149" s="31" t="s">
        <v>205</v>
      </c>
      <c r="N149" s="33">
        <v>1.8</v>
      </c>
      <c r="O149" s="51" cm="1">
        <f t="array" aca="1" ref="O149" ca="1">IF(K149="SI",IF(N149&lt;&gt;0,(INDIRECT(M149)*N149)/L149,0),0)</f>
        <v>0</v>
      </c>
      <c r="P149" s="51" t="e" cm="1">
        <f t="array" aca="1" ref="P149" ca="1">IF(N149&lt;&gt;0,(INDIRECT(M149)*N149)/L149,0)</f>
        <v>#REF!</v>
      </c>
      <c r="Q149" s="38">
        <v>3</v>
      </c>
      <c r="R149" s="8"/>
      <c r="S149" s="8"/>
      <c r="T149" s="8"/>
    </row>
    <row r="150" spans="1:20" s="56" customFormat="1" hidden="1" outlineLevel="4">
      <c r="A150" s="43">
        <v>0</v>
      </c>
      <c r="B150" s="41" t="s">
        <v>24</v>
      </c>
      <c r="C150" s="41" t="s">
        <v>37</v>
      </c>
      <c r="D150" s="25" t="str">
        <f t="shared" ref="D150:D396" si="112">IFERROR(VLOOKUP(C150,Todos,2,FALSE),"")</f>
        <v></v>
      </c>
      <c r="E150" s="42" t="s">
        <v>37</v>
      </c>
      <c r="F150" s="43">
        <v>110</v>
      </c>
      <c r="G150" s="28">
        <f t="shared" si="95"/>
        <v>45199.923611111168</v>
      </c>
      <c r="H150" s="28">
        <f t="shared" si="69"/>
        <v>45200.000000000058</v>
      </c>
      <c r="I150" s="29"/>
      <c r="J150" s="30"/>
      <c r="K150" s="31"/>
      <c r="L150" s="32"/>
      <c r="M150" s="31"/>
      <c r="N150" s="33"/>
      <c r="O150" s="51" cm="1">
        <f t="array" aca="1" ref="O150" ca="1">IF(K150="SI",IF(N150&lt;&gt;0,(INDIRECT(M150)*N150)/L150,0),0)</f>
        <v>0</v>
      </c>
      <c r="P150" s="51" cm="1">
        <f t="array" aca="1" ref="P150" ca="1">IF(N150&lt;&gt;0,(INDIRECT(M150)*N150)/L150,0)</f>
        <v>0</v>
      </c>
      <c r="Q150" s="38">
        <v>3</v>
      </c>
      <c r="R150" s="8"/>
      <c r="S150" s="8"/>
      <c r="T150" s="8"/>
    </row>
    <row r="151" spans="1:20" s="56" customFormat="1" hidden="1" outlineLevel="3">
      <c r="A151" s="43">
        <v>0</v>
      </c>
      <c r="B151" s="41" t="s">
        <v>15</v>
      </c>
      <c r="C151" s="41" t="s">
        <v>22</v>
      </c>
      <c r="D151" s="25" t="str">
        <f t="shared" ref="D151:D397" si="113">IFERROR(VLOOKUP(C151,Todos,2,FALSE),"")</f>
        <v></v>
      </c>
      <c r="E151" s="55" t="s">
        <v>249</v>
      </c>
      <c r="F151" s="43">
        <f>SUM(F152:F175)</f>
        <v>1440</v>
      </c>
      <c r="G151" s="28">
        <f>H150</f>
        <v>45200.000000000058</v>
      </c>
      <c r="H151" s="28">
        <f>G151+(F151/24)/60</f>
        <v>45201.000000000058</v>
      </c>
      <c r="I151" s="29" t="str">
        <f>PROPER(TEXT(G151,"dddd"))</f>
        <v>Domingo</v>
      </c>
      <c r="J151" s="30">
        <f>SUM(J152:J175)</f>
        <v>2.8</v>
      </c>
      <c r="K151" s="31"/>
      <c r="L151" s="32"/>
      <c r="M151" s="31"/>
      <c r="N151" s="48">
        <v>0</v>
      </c>
      <c r="O151" s="49">
        <f ca="1">SUM(O152:O175)</f>
        <v>0</v>
      </c>
      <c r="P151" s="49" t="e">
        <f ca="1">SUM(P152:P175)</f>
        <v>#REF!</v>
      </c>
      <c r="Q151" s="38">
        <f>AVERAGE(Q152:Q175)</f>
        <v>3</v>
      </c>
      <c r="R151" s="8"/>
      <c r="S151" s="8"/>
      <c r="T151" s="8"/>
    </row>
    <row r="152" spans="1:20" s="56" customFormat="1" hidden="1" outlineLevel="4">
      <c r="A152" s="43">
        <v>0</v>
      </c>
      <c r="B152" s="41" t="s">
        <v>24</v>
      </c>
      <c r="C152" s="41" t="s">
        <v>37</v>
      </c>
      <c r="D152" s="25" t="str">
        <f t="shared" si="113"/>
        <v></v>
      </c>
      <c r="E152" s="42" t="s">
        <v>37</v>
      </c>
      <c r="F152" s="43">
        <v>480</v>
      </c>
      <c r="G152" s="28">
        <f>H150</f>
        <v>45200.000000000058</v>
      </c>
      <c r="H152" s="28">
        <f>G152+(F152/24)/60</f>
        <v>45200.333333333394</v>
      </c>
      <c r="I152" s="29"/>
      <c r="J152" s="30"/>
      <c r="K152" s="31"/>
      <c r="L152" s="32"/>
      <c r="M152" s="31"/>
      <c r="N152" s="33"/>
      <c r="O152" s="51" cm="1">
        <f t="array" aca="1" ref="O152" ca="1">IF(K152="SI",IF(N152&lt;&gt;0,(INDIRECT(M152)*N152)/L152,0),0)</f>
        <v>0</v>
      </c>
      <c r="P152" s="51" cm="1">
        <f t="array" aca="1" ref="P152" ca="1">IF(N152&lt;&gt;0,(INDIRECT(M152)*N152)/L152,0)</f>
        <v>0</v>
      </c>
      <c r="Q152" s="38">
        <v>3</v>
      </c>
      <c r="R152" s="8"/>
      <c r="S152" s="8"/>
      <c r="T152" s="8"/>
    </row>
    <row r="153" spans="1:20" s="56" customFormat="1" hidden="1" outlineLevel="4">
      <c r="A153" s="43">
        <v>0</v>
      </c>
      <c r="B153" s="41" t="s">
        <v>71</v>
      </c>
      <c r="C153" s="41" t="s">
        <v>75</v>
      </c>
      <c r="D153" s="25" t="str">
        <f t="shared" ref="D153:D399" si="114">IFERROR(VLOOKUP(C153,Todos,2,FALSE),"")</f>
        <v></v>
      </c>
      <c r="E153" s="42" t="s">
        <v>75</v>
      </c>
      <c r="F153" s="43">
        <v>60</v>
      </c>
      <c r="G153" s="28">
        <f>H152</f>
        <v>45200.333333333394</v>
      </c>
      <c r="H153" s="28">
        <f t="shared" ref="H153:H175" si="115">G153+(F153/24)/60</f>
        <v>45200.375000000058</v>
      </c>
      <c r="I153" s="29" t="s">
        <v>250</v>
      </c>
      <c r="J153" s="30"/>
      <c r="K153" s="31" t="s">
        <v>58</v>
      </c>
      <c r="L153" s="32">
        <v>1</v>
      </c>
      <c r="M153" s="31" t="s">
        <v>205</v>
      </c>
      <c r="N153" s="33">
        <v>15</v>
      </c>
      <c r="O153" s="51" cm="1">
        <f t="array" aca="1" ref="O153" ca="1">IF(K153="SI",IF(N153&lt;&gt;0,(INDIRECT(M153)*N153)/L153,0),0)</f>
        <v>0</v>
      </c>
      <c r="P153" s="51" t="e" cm="1">
        <f t="array" aca="1" ref="P153" ca="1">IF(N153&lt;&gt;0,(INDIRECT(M153)*N153)/L153,0)</f>
        <v>#REF!</v>
      </c>
      <c r="Q153" s="38">
        <v>3</v>
      </c>
      <c r="R153" s="8"/>
      <c r="S153" s="8"/>
      <c r="T153" s="8"/>
    </row>
    <row r="154" spans="1:20" s="56" customFormat="1" ht="31.5" hidden="1" outlineLevel="4">
      <c r="A154" s="43">
        <v>0</v>
      </c>
      <c r="B154" s="41" t="s">
        <v>24</v>
      </c>
      <c r="C154" s="41" t="s">
        <v>83</v>
      </c>
      <c r="D154" s="25" t="str">
        <f>IFERROR(VLOOKUP(C154,Todos,2,FALSE),"")</f>
        <v></v>
      </c>
      <c r="E154" s="42" t="s">
        <v>251</v>
      </c>
      <c r="F154" s="43">
        <v>390</v>
      </c>
      <c r="G154" s="28">
        <f t="shared" ref="G154:G175" si="116">H153</f>
        <v>45200.375000000058</v>
      </c>
      <c r="H154" s="28">
        <f t="shared" si="115"/>
        <v>45200.645833333394</v>
      </c>
      <c r="I154" s="29" t="s">
        <v>252</v>
      </c>
      <c r="J154" s="30"/>
      <c r="K154" s="31" t="s">
        <v>58</v>
      </c>
      <c r="L154" s="32">
        <v>1</v>
      </c>
      <c r="M154" s="31" t="s">
        <v>205</v>
      </c>
      <c r="N154" s="33">
        <v>110</v>
      </c>
      <c r="O154" s="51" cm="1">
        <f t="array" aca="1" ref="O154" ca="1">IF(K154="SI",IF(N154&lt;&gt;0,(INDIRECT(M154)*N154)/L154,0),0)</f>
        <v>0</v>
      </c>
      <c r="P154" s="51" t="e" cm="1">
        <f t="array" aca="1" ref="P154" ca="1">IF(N154&lt;&gt;0,(INDIRECT(M154)*N154)/L154,0)</f>
        <v>#REF!</v>
      </c>
      <c r="Q154" s="38">
        <v>3</v>
      </c>
      <c r="R154" s="8"/>
      <c r="S154" s="8"/>
      <c r="T154" s="8"/>
    </row>
    <row r="155" spans="1:20" s="56" customFormat="1" hidden="1" outlineLevel="4">
      <c r="A155" s="43">
        <v>0</v>
      </c>
      <c r="B155" s="41" t="s">
        <v>38</v>
      </c>
      <c r="C155" s="41" t="s">
        <v>253</v>
      </c>
      <c r="D155" s="25" t="str">
        <f t="shared" ref="D155:D179" si="117">IFERROR(VLOOKUP(C155,Todos,2,FALSE),"")</f>
        <v></v>
      </c>
      <c r="E155" s="42" t="s">
        <v>254</v>
      </c>
      <c r="F155" s="43">
        <v>0</v>
      </c>
      <c r="G155" s="28">
        <f t="shared" si="116"/>
        <v>45200.645833333394</v>
      </c>
      <c r="H155" s="28">
        <f t="shared" si="115"/>
        <v>45200.645833333394</v>
      </c>
      <c r="I155" s="29" t="s">
        <v>255</v>
      </c>
      <c r="J155" s="30"/>
      <c r="K155" s="31" t="s">
        <v>27</v>
      </c>
      <c r="L155" s="32">
        <v>1</v>
      </c>
      <c r="M155" s="31" t="s">
        <v>205</v>
      </c>
      <c r="N155" s="33">
        <v>0</v>
      </c>
      <c r="O155" s="51" cm="1">
        <f t="array" aca="1" ref="O155" ca="1">IF(K155="SI",IF(N155&lt;&gt;0,(INDIRECT(M155)*N155)/L155,0),0)</f>
        <v>0</v>
      </c>
      <c r="P155" s="51" cm="1">
        <f t="array" aca="1" ref="P155" ca="1">IF(N155&lt;&gt;0,(INDIRECT(M155)*N155)/L155,0)</f>
        <v>0</v>
      </c>
      <c r="Q155" s="38">
        <v>3</v>
      </c>
      <c r="R155" s="8"/>
      <c r="S155" s="8"/>
      <c r="T155" s="8"/>
    </row>
    <row r="156" spans="1:20" s="56" customFormat="1" hidden="1" outlineLevel="4">
      <c r="A156" s="43">
        <v>0</v>
      </c>
      <c r="B156" s="41" t="s">
        <v>62</v>
      </c>
      <c r="C156" s="41" t="s">
        <v>175</v>
      </c>
      <c r="D156" s="25" t="str">
        <f t="shared" ref="D156:D180" si="118">IFERROR(VLOOKUP(C156,Todos,2,FALSE),"")</f>
        <v></v>
      </c>
      <c r="E156" s="42" t="s">
        <v>256</v>
      </c>
      <c r="F156" s="43">
        <v>0</v>
      </c>
      <c r="G156" s="28">
        <f t="shared" si="116"/>
        <v>45200.645833333394</v>
      </c>
      <c r="H156" s="28">
        <f t="shared" si="115"/>
        <v>45200.645833333394</v>
      </c>
      <c r="I156" s="29" t="s">
        <v>88</v>
      </c>
      <c r="J156" s="30"/>
      <c r="K156" s="31" t="s">
        <v>27</v>
      </c>
      <c r="L156" s="32">
        <v>1</v>
      </c>
      <c r="M156" s="31" t="s">
        <v>205</v>
      </c>
      <c r="N156" s="33">
        <v>0</v>
      </c>
      <c r="O156" s="51" cm="1">
        <f t="array" aca="1" ref="O156" ca="1">IF(K156="SI",IF(N156&lt;&gt;0,(INDIRECT(M156)*N156)/L156,0),0)</f>
        <v>0</v>
      </c>
      <c r="P156" s="51" cm="1">
        <f t="array" aca="1" ref="P156" ca="1">IF(N156&lt;&gt;0,(INDIRECT(M156)*N156)/L156,0)</f>
        <v>0</v>
      </c>
      <c r="Q156" s="38">
        <v>3</v>
      </c>
      <c r="R156" s="8"/>
      <c r="S156" s="8"/>
      <c r="T156" s="8"/>
    </row>
    <row r="157" spans="1:20" s="56" customFormat="1" hidden="1" outlineLevel="4">
      <c r="A157" s="43">
        <v>0</v>
      </c>
      <c r="B157" s="41" t="s">
        <v>62</v>
      </c>
      <c r="C157" s="41" t="s">
        <v>257</v>
      </c>
      <c r="D157" s="25" t="str">
        <f t="shared" ref="D157:D181" si="119">IFERROR(VLOOKUP(C157,Todos,2,FALSE),"")</f>
        <v></v>
      </c>
      <c r="E157" s="42" t="s">
        <v>258</v>
      </c>
      <c r="F157" s="43">
        <v>0</v>
      </c>
      <c r="G157" s="28">
        <f t="shared" si="116"/>
        <v>45200.645833333394</v>
      </c>
      <c r="H157" s="28">
        <f t="shared" si="115"/>
        <v>45200.645833333394</v>
      </c>
      <c r="I157" s="29" t="s">
        <v>88</v>
      </c>
      <c r="J157" s="30"/>
      <c r="K157" s="31" t="s">
        <v>27</v>
      </c>
      <c r="L157" s="32">
        <v>1</v>
      </c>
      <c r="M157" s="31" t="s">
        <v>205</v>
      </c>
      <c r="N157" s="33">
        <v>0</v>
      </c>
      <c r="O157" s="51" cm="1">
        <f t="array" aca="1" ref="O157" ca="1">IF(K157="SI",IF(N157&lt;&gt;0,(INDIRECT(M157)*N157)/L157,0),0)</f>
        <v>0</v>
      </c>
      <c r="P157" s="51" cm="1">
        <f t="array" aca="1" ref="P157" ca="1">IF(N157&lt;&gt;0,(INDIRECT(M157)*N157)/L157,0)</f>
        <v>0</v>
      </c>
      <c r="Q157" s="38">
        <v>3</v>
      </c>
      <c r="R157" s="8"/>
      <c r="S157" s="8"/>
      <c r="T157" s="8"/>
    </row>
    <row r="158" spans="1:20" s="56" customFormat="1" hidden="1" outlineLevel="4">
      <c r="A158" s="43">
        <v>0</v>
      </c>
      <c r="B158" s="41" t="s">
        <v>62</v>
      </c>
      <c r="C158" s="41" t="s">
        <v>257</v>
      </c>
      <c r="D158" s="25" t="str">
        <f t="shared" ref="D158:D182" si="120">IFERROR(VLOOKUP(C158,Todos,2,FALSE),"")</f>
        <v></v>
      </c>
      <c r="E158" s="42" t="s">
        <v>259</v>
      </c>
      <c r="F158" s="43">
        <v>0</v>
      </c>
      <c r="G158" s="28">
        <f t="shared" si="116"/>
        <v>45200.645833333394</v>
      </c>
      <c r="H158" s="28">
        <f t="shared" si="115"/>
        <v>45200.645833333394</v>
      </c>
      <c r="I158" s="29" t="s">
        <v>88</v>
      </c>
      <c r="J158" s="30"/>
      <c r="K158" s="31" t="s">
        <v>27</v>
      </c>
      <c r="L158" s="32">
        <v>1</v>
      </c>
      <c r="M158" s="31" t="s">
        <v>205</v>
      </c>
      <c r="N158" s="33">
        <v>0</v>
      </c>
      <c r="O158" s="51" cm="1">
        <f t="array" aca="1" ref="O158" ca="1">IF(K158="SI",IF(N158&lt;&gt;0,(INDIRECT(M158)*N158)/L158,0),0)</f>
        <v>0</v>
      </c>
      <c r="P158" s="51" cm="1">
        <f t="array" aca="1" ref="P158" ca="1">IF(N158&lt;&gt;0,(INDIRECT(M158)*N158)/L158,0)</f>
        <v>0</v>
      </c>
      <c r="Q158" s="38">
        <v>3</v>
      </c>
      <c r="R158" s="8"/>
      <c r="S158" s="8"/>
      <c r="T158" s="8"/>
    </row>
    <row r="159" spans="1:20" s="56" customFormat="1" hidden="1" outlineLevel="4">
      <c r="A159" s="43">
        <v>0</v>
      </c>
      <c r="B159" s="41" t="s">
        <v>62</v>
      </c>
      <c r="C159" s="41" t="s">
        <v>260</v>
      </c>
      <c r="D159" s="25" t="str">
        <f t="shared" ref="D159:D183" si="121">IFERROR(VLOOKUP(C159,Todos,2,FALSE),"")</f>
        <v></v>
      </c>
      <c r="E159" s="42" t="s">
        <v>261</v>
      </c>
      <c r="F159" s="43">
        <v>0</v>
      </c>
      <c r="G159" s="28">
        <f t="shared" si="116"/>
        <v>45200.645833333394</v>
      </c>
      <c r="H159" s="28">
        <f t="shared" si="115"/>
        <v>45200.645833333394</v>
      </c>
      <c r="I159" s="29" t="s">
        <v>88</v>
      </c>
      <c r="J159" s="30"/>
      <c r="K159" s="31" t="s">
        <v>27</v>
      </c>
      <c r="L159" s="32">
        <v>1</v>
      </c>
      <c r="M159" s="31" t="s">
        <v>205</v>
      </c>
      <c r="N159" s="33">
        <v>0</v>
      </c>
      <c r="O159" s="51" cm="1">
        <f t="array" aca="1" ref="O159" ca="1">IF(K159="SI",IF(N159&lt;&gt;0,(INDIRECT(M159)*N159)/L159,0),0)</f>
        <v>0</v>
      </c>
      <c r="P159" s="51" cm="1">
        <f t="array" aca="1" ref="P159" ca="1">IF(N159&lt;&gt;0,(INDIRECT(M159)*N159)/L159,0)</f>
        <v>0</v>
      </c>
      <c r="Q159" s="38">
        <v>3</v>
      </c>
      <c r="R159" s="8"/>
      <c r="S159" s="8"/>
      <c r="T159" s="8"/>
    </row>
    <row r="160" spans="1:20" s="56" customFormat="1" hidden="1" outlineLevel="4">
      <c r="A160" s="43">
        <v>0</v>
      </c>
      <c r="B160" s="41" t="s">
        <v>62</v>
      </c>
      <c r="C160" s="41" t="s">
        <v>257</v>
      </c>
      <c r="D160" s="25" t="str">
        <f t="shared" ref="D160:D184" si="122">IFERROR(VLOOKUP(C160,Todos,2,FALSE),"")</f>
        <v></v>
      </c>
      <c r="E160" s="42" t="s">
        <v>262</v>
      </c>
      <c r="F160" s="43">
        <v>0</v>
      </c>
      <c r="G160" s="28">
        <f t="shared" si="116"/>
        <v>45200.645833333394</v>
      </c>
      <c r="H160" s="28">
        <f t="shared" si="115"/>
        <v>45200.645833333394</v>
      </c>
      <c r="I160" s="29" t="s">
        <v>88</v>
      </c>
      <c r="J160" s="30"/>
      <c r="K160" s="31" t="s">
        <v>27</v>
      </c>
      <c r="L160" s="32">
        <v>1</v>
      </c>
      <c r="M160" s="31" t="s">
        <v>205</v>
      </c>
      <c r="N160" s="33">
        <v>0</v>
      </c>
      <c r="O160" s="51" cm="1">
        <f t="array" aca="1" ref="O160" ca="1">IF(K160="SI",IF(N160&lt;&gt;0,(INDIRECT(M160)*N160)/L160,0),0)</f>
        <v>0</v>
      </c>
      <c r="P160" s="51" cm="1">
        <f t="array" aca="1" ref="P160" ca="1">IF(N160&lt;&gt;0,(INDIRECT(M160)*N160)/L160,0)</f>
        <v>0</v>
      </c>
      <c r="Q160" s="38">
        <v>3</v>
      </c>
      <c r="R160" s="8"/>
      <c r="S160" s="8"/>
      <c r="T160" s="8"/>
    </row>
    <row r="161" spans="1:20" s="56" customFormat="1" hidden="1" outlineLevel="4">
      <c r="A161" s="43">
        <v>0</v>
      </c>
      <c r="B161" s="41" t="s">
        <v>62</v>
      </c>
      <c r="C161" s="41" t="s">
        <v>257</v>
      </c>
      <c r="D161" s="25" t="str">
        <f t="shared" ref="D161:D185" si="123">IFERROR(VLOOKUP(C161,Todos,2,FALSE),"")</f>
        <v></v>
      </c>
      <c r="E161" s="42" t="s">
        <v>263</v>
      </c>
      <c r="F161" s="43">
        <v>0</v>
      </c>
      <c r="G161" s="28">
        <f t="shared" si="116"/>
        <v>45200.645833333394</v>
      </c>
      <c r="H161" s="28">
        <f t="shared" si="115"/>
        <v>45200.645833333394</v>
      </c>
      <c r="I161" s="29" t="s">
        <v>88</v>
      </c>
      <c r="J161" s="30"/>
      <c r="K161" s="31" t="s">
        <v>27</v>
      </c>
      <c r="L161" s="32">
        <v>1</v>
      </c>
      <c r="M161" s="31" t="s">
        <v>205</v>
      </c>
      <c r="N161" s="33">
        <v>0</v>
      </c>
      <c r="O161" s="51" cm="1">
        <f t="array" aca="1" ref="O161" ca="1">IF(K161="SI",IF(N161&lt;&gt;0,(INDIRECT(M161)*N161)/L161,0),0)</f>
        <v>0</v>
      </c>
      <c r="P161" s="51" cm="1">
        <f t="array" aca="1" ref="P161" ca="1">IF(N161&lt;&gt;0,(INDIRECT(M161)*N161)/L161,0)</f>
        <v>0</v>
      </c>
      <c r="Q161" s="38">
        <v>3</v>
      </c>
      <c r="R161" s="8"/>
      <c r="S161" s="8"/>
      <c r="T161" s="8"/>
    </row>
    <row r="162" spans="1:20" s="56" customFormat="1" hidden="1" outlineLevel="4">
      <c r="A162" s="43">
        <v>0</v>
      </c>
      <c r="B162" s="41" t="s">
        <v>62</v>
      </c>
      <c r="C162" s="41" t="s">
        <v>175</v>
      </c>
      <c r="D162" s="25" t="str">
        <f t="shared" ref="D162:D186" si="124">IFERROR(VLOOKUP(C162,Todos,2,FALSE),"")</f>
        <v></v>
      </c>
      <c r="E162" s="42" t="s">
        <v>264</v>
      </c>
      <c r="F162" s="43">
        <v>0</v>
      </c>
      <c r="G162" s="28">
        <f t="shared" si="116"/>
        <v>45200.645833333394</v>
      </c>
      <c r="H162" s="28">
        <f t="shared" si="115"/>
        <v>45200.645833333394</v>
      </c>
      <c r="I162" s="29" t="s">
        <v>88</v>
      </c>
      <c r="J162" s="30"/>
      <c r="K162" s="31" t="s">
        <v>27</v>
      </c>
      <c r="L162" s="32">
        <v>1</v>
      </c>
      <c r="M162" s="31" t="s">
        <v>205</v>
      </c>
      <c r="N162" s="33">
        <v>0</v>
      </c>
      <c r="O162" s="51" cm="1">
        <f t="array" aca="1" ref="O162" ca="1">IF(K162="SI",IF(N162&lt;&gt;0,(INDIRECT(M162)*N162)/L162,0),0)</f>
        <v>0</v>
      </c>
      <c r="P162" s="51" cm="1">
        <f t="array" aca="1" ref="P162" ca="1">IF(N162&lt;&gt;0,(INDIRECT(M162)*N162)/L162,0)</f>
        <v>0</v>
      </c>
      <c r="Q162" s="38">
        <v>3</v>
      </c>
      <c r="R162" s="8"/>
      <c r="S162" s="8"/>
      <c r="T162" s="8"/>
    </row>
    <row r="163" spans="1:20" s="56" customFormat="1" hidden="1" outlineLevel="4">
      <c r="A163" s="43">
        <v>0</v>
      </c>
      <c r="B163" s="41" t="s">
        <v>62</v>
      </c>
      <c r="C163" s="41" t="s">
        <v>257</v>
      </c>
      <c r="D163" s="25" t="str">
        <f t="shared" ref="D163:D187" si="125">IFERROR(VLOOKUP(C163,Todos,2,FALSE),"")</f>
        <v></v>
      </c>
      <c r="E163" s="42" t="s">
        <v>265</v>
      </c>
      <c r="F163" s="43">
        <v>0</v>
      </c>
      <c r="G163" s="28">
        <f t="shared" si="116"/>
        <v>45200.645833333394</v>
      </c>
      <c r="H163" s="28">
        <f t="shared" si="115"/>
        <v>45200.645833333394</v>
      </c>
      <c r="I163" s="29" t="s">
        <v>88</v>
      </c>
      <c r="J163" s="30"/>
      <c r="K163" s="31" t="s">
        <v>27</v>
      </c>
      <c r="L163" s="32">
        <v>1</v>
      </c>
      <c r="M163" s="31" t="s">
        <v>205</v>
      </c>
      <c r="N163" s="33">
        <v>0</v>
      </c>
      <c r="O163" s="51" cm="1">
        <f t="array" aca="1" ref="O163" ca="1">IF(K163="SI",IF(N163&lt;&gt;0,(INDIRECT(M163)*N163)/L163,0),0)</f>
        <v>0</v>
      </c>
      <c r="P163" s="51" cm="1">
        <f t="array" aca="1" ref="P163" ca="1">IF(N163&lt;&gt;0,(INDIRECT(M163)*N163)/L163,0)</f>
        <v>0</v>
      </c>
      <c r="Q163" s="38">
        <v>3</v>
      </c>
      <c r="R163" s="8"/>
      <c r="S163" s="8"/>
      <c r="T163" s="8"/>
    </row>
    <row r="164" spans="1:20" s="56" customFormat="1" hidden="1" outlineLevel="4">
      <c r="A164" s="43">
        <v>0</v>
      </c>
      <c r="B164" s="41" t="s">
        <v>71</v>
      </c>
      <c r="C164" s="41" t="s">
        <v>95</v>
      </c>
      <c r="D164" s="25" t="str">
        <f t="shared" ref="D164:D188" si="126">IFERROR(VLOOKUP(C164,Todos,2,FALSE),"")</f>
        <v></v>
      </c>
      <c r="E164" s="42" t="s">
        <v>95</v>
      </c>
      <c r="F164" s="43">
        <v>0</v>
      </c>
      <c r="G164" s="28">
        <f t="shared" si="116"/>
        <v>45200.645833333394</v>
      </c>
      <c r="H164" s="28">
        <f t="shared" si="115"/>
        <v>45200.645833333394</v>
      </c>
      <c r="I164" s="29" t="s">
        <v>255</v>
      </c>
      <c r="J164" s="30"/>
      <c r="K164" s="31" t="s">
        <v>27</v>
      </c>
      <c r="L164" s="32">
        <v>1</v>
      </c>
      <c r="M164" s="31" t="s">
        <v>205</v>
      </c>
      <c r="N164" s="33">
        <v>0</v>
      </c>
      <c r="O164" s="51" cm="1">
        <f t="array" aca="1" ref="O164" ca="1">IF(K164="SI",IF(N164&lt;&gt;0,(INDIRECT(M164)*N164)/L164,0),0)</f>
        <v>0</v>
      </c>
      <c r="P164" s="51" cm="1">
        <f t="array" aca="1" ref="P164" ca="1">IF(N164&lt;&gt;0,(INDIRECT(M164)*N164)/L164,0)</f>
        <v>0</v>
      </c>
      <c r="Q164" s="38">
        <v>3</v>
      </c>
      <c r="R164" s="8"/>
      <c r="S164" s="8"/>
      <c r="T164" s="8"/>
    </row>
    <row r="165" spans="1:20" s="56" customFormat="1" hidden="1" outlineLevel="4">
      <c r="A165" s="43">
        <v>0</v>
      </c>
      <c r="B165" s="41" t="s">
        <v>62</v>
      </c>
      <c r="C165" s="41" t="s">
        <v>175</v>
      </c>
      <c r="D165" s="25" t="str">
        <f t="shared" ref="D165:D189" si="127">IFERROR(VLOOKUP(C165,Todos,2,FALSE),"")</f>
        <v></v>
      </c>
      <c r="E165" s="42" t="s">
        <v>256</v>
      </c>
      <c r="F165" s="43">
        <v>0</v>
      </c>
      <c r="G165" s="28">
        <f t="shared" si="116"/>
        <v>45200.645833333394</v>
      </c>
      <c r="H165" s="28">
        <f t="shared" si="115"/>
        <v>45200.645833333394</v>
      </c>
      <c r="I165" s="29" t="s">
        <v>88</v>
      </c>
      <c r="J165" s="30"/>
      <c r="K165" s="31" t="s">
        <v>27</v>
      </c>
      <c r="L165" s="32">
        <v>1</v>
      </c>
      <c r="M165" s="31" t="s">
        <v>205</v>
      </c>
      <c r="N165" s="33">
        <v>0</v>
      </c>
      <c r="O165" s="51" cm="1">
        <f t="array" aca="1" ref="O165" ca="1">IF(K165="SI",IF(N165&lt;&gt;0,(INDIRECT(M165)*N165)/L165,0),0)</f>
        <v>0</v>
      </c>
      <c r="P165" s="51" cm="1">
        <f t="array" aca="1" ref="P165" ca="1">IF(N165&lt;&gt;0,(INDIRECT(M165)*N165)/L165,0)</f>
        <v>0</v>
      </c>
      <c r="Q165" s="38">
        <v>3</v>
      </c>
      <c r="R165" s="8"/>
      <c r="S165" s="8"/>
      <c r="T165" s="8"/>
    </row>
    <row r="166" spans="1:20" s="56" customFormat="1" hidden="1" outlineLevel="4">
      <c r="A166" s="43">
        <v>0</v>
      </c>
      <c r="B166" s="41" t="s">
        <v>38</v>
      </c>
      <c r="C166" s="41" t="s">
        <v>253</v>
      </c>
      <c r="D166" s="25" t="str">
        <f t="shared" ref="D166:D190" si="128">IFERROR(VLOOKUP(C166,Todos,2,FALSE),"")</f>
        <v></v>
      </c>
      <c r="E166" s="42" t="s">
        <v>266</v>
      </c>
      <c r="F166" s="43">
        <v>0</v>
      </c>
      <c r="G166" s="28">
        <f t="shared" si="116"/>
        <v>45200.645833333394</v>
      </c>
      <c r="H166" s="28">
        <f t="shared" si="115"/>
        <v>45200.645833333394</v>
      </c>
      <c r="I166" s="29" t="s">
        <v>255</v>
      </c>
      <c r="J166" s="30"/>
      <c r="K166" s="31" t="s">
        <v>27</v>
      </c>
      <c r="L166" s="32">
        <v>1</v>
      </c>
      <c r="M166" s="31" t="s">
        <v>205</v>
      </c>
      <c r="N166" s="33">
        <v>0</v>
      </c>
      <c r="O166" s="51" cm="1">
        <f t="array" aca="1" ref="O166" ca="1">IF(K166="SI",IF(N166&lt;&gt;0,(INDIRECT(M166)*N166)/L166,0),0)</f>
        <v>0</v>
      </c>
      <c r="P166" s="51" cm="1">
        <f t="array" aca="1" ref="P166" ca="1">IF(N166&lt;&gt;0,(INDIRECT(M166)*N166)/L166,0)</f>
        <v>0</v>
      </c>
      <c r="Q166" s="38">
        <v>3</v>
      </c>
      <c r="R166" s="8"/>
      <c r="S166" s="8"/>
      <c r="T166" s="8"/>
    </row>
    <row r="167" spans="1:20" s="56" customFormat="1" hidden="1" outlineLevel="4">
      <c r="A167" s="43">
        <v>0</v>
      </c>
      <c r="B167" s="41" t="s">
        <v>24</v>
      </c>
      <c r="C167" s="41" t="s">
        <v>37</v>
      </c>
      <c r="D167" s="25" t="str">
        <f t="shared" ref="D167:D191" si="129">IFERROR(VLOOKUP(C167,Todos,2,FALSE),"")</f>
        <v></v>
      </c>
      <c r="E167" s="42" t="s">
        <v>37</v>
      </c>
      <c r="F167" s="43">
        <v>60</v>
      </c>
      <c r="G167" s="28">
        <f t="shared" si="116"/>
        <v>45200.645833333394</v>
      </c>
      <c r="H167" s="28">
        <f t="shared" si="115"/>
        <v>45200.687500000058</v>
      </c>
      <c r="I167" s="29"/>
      <c r="J167" s="30"/>
      <c r="K167" s="31"/>
      <c r="L167" s="32"/>
      <c r="M167" s="31"/>
      <c r="N167" s="33"/>
      <c r="O167" s="51">
        <v>0</v>
      </c>
      <c r="P167" s="51">
        <v>0</v>
      </c>
      <c r="Q167" s="38">
        <v>3</v>
      </c>
      <c r="R167" s="8"/>
      <c r="S167" s="8"/>
      <c r="T167" s="8"/>
    </row>
    <row r="168" spans="1:20" s="56" customFormat="1" hidden="1" outlineLevel="4">
      <c r="A168" s="43">
        <v>0</v>
      </c>
      <c r="B168" s="41" t="s">
        <v>38</v>
      </c>
      <c r="C168" s="41" t="s">
        <v>60</v>
      </c>
      <c r="D168" s="25" t="str">
        <f>IFERROR(VLOOKUP(C168,Todos,2,FALSE),"")</f>
        <v></v>
      </c>
      <c r="E168" s="42" t="s">
        <v>267</v>
      </c>
      <c r="F168" s="43">
        <v>30</v>
      </c>
      <c r="G168" s="28">
        <f t="shared" si="116"/>
        <v>45200.687500000058</v>
      </c>
      <c r="H168" s="28">
        <f t="shared" si="115"/>
        <v>45200.708333333394</v>
      </c>
      <c r="I168" s="29"/>
      <c r="J168" s="30">
        <v>1.4</v>
      </c>
      <c r="K168" s="31"/>
      <c r="L168" s="32"/>
      <c r="M168" s="31"/>
      <c r="N168" s="33"/>
      <c r="O168" s="51">
        <v>0</v>
      </c>
      <c r="P168" s="51">
        <v>0</v>
      </c>
      <c r="Q168" s="38">
        <v>3</v>
      </c>
      <c r="R168" s="8"/>
      <c r="S168" s="8"/>
      <c r="T168" s="8"/>
    </row>
    <row r="169" spans="1:20" s="56" customFormat="1" hidden="1" outlineLevel="4">
      <c r="A169" s="43">
        <v>0</v>
      </c>
      <c r="B169" s="41" t="s">
        <v>71</v>
      </c>
      <c r="C169" s="41" t="s">
        <v>268</v>
      </c>
      <c r="D169" s="25" t="str">
        <f>IFERROR(VLOOKUP(C169,Todos,2,FALSE),"")</f>
        <v></v>
      </c>
      <c r="E169" s="42" t="s">
        <v>269</v>
      </c>
      <c r="F169" s="43">
        <v>30</v>
      </c>
      <c r="G169" s="28">
        <f t="shared" si="116"/>
        <v>45200.708333333394</v>
      </c>
      <c r="H169" s="28">
        <f t="shared" si="115"/>
        <v>45200.72916666673</v>
      </c>
      <c r="I169" s="29" t="s">
        <v>270</v>
      </c>
      <c r="J169" s="30"/>
      <c r="K169" s="31" t="s">
        <v>27</v>
      </c>
      <c r="L169" s="32">
        <v>1</v>
      </c>
      <c r="M169" s="31" t="s">
        <v>205</v>
      </c>
      <c r="N169" s="33">
        <v>0</v>
      </c>
      <c r="O169" s="51" cm="1">
        <f t="array" aca="1" ref="O169" ca="1">IF(K169="SI",IF(N169&lt;&gt;0,(INDIRECT(M169)*N169)/L169,0),0)</f>
        <v>0</v>
      </c>
      <c r="P169" s="51" cm="1">
        <f t="array" aca="1" ref="P169" ca="1">IF(N169&lt;&gt;0,(INDIRECT(M169)*N169)/L169,0)</f>
        <v>0</v>
      </c>
      <c r="Q169" s="38">
        <v>3</v>
      </c>
      <c r="R169" s="8"/>
      <c r="S169" s="8"/>
      <c r="T169" s="8"/>
    </row>
    <row r="170" spans="1:20" s="56" customFormat="1" hidden="1" outlineLevel="4">
      <c r="A170" s="43">
        <v>0</v>
      </c>
      <c r="B170" s="41" t="s">
        <v>62</v>
      </c>
      <c r="C170" s="41" t="s">
        <v>175</v>
      </c>
      <c r="D170" s="25" t="str">
        <f>IFERROR(VLOOKUP(C170,Todos,2,FALSE),"")</f>
        <v></v>
      </c>
      <c r="E170" s="42" t="s">
        <v>271</v>
      </c>
      <c r="F170" s="43">
        <v>30</v>
      </c>
      <c r="G170" s="28">
        <f t="shared" si="116"/>
        <v>45200.72916666673</v>
      </c>
      <c r="H170" s="28">
        <f t="shared" si="115"/>
        <v>45200.750000000065</v>
      </c>
      <c r="I170" s="29" t="s">
        <v>88</v>
      </c>
      <c r="J170" s="30"/>
      <c r="K170" s="31" t="s">
        <v>27</v>
      </c>
      <c r="L170" s="32">
        <v>1</v>
      </c>
      <c r="M170" s="31" t="s">
        <v>205</v>
      </c>
      <c r="N170" s="33">
        <v>0</v>
      </c>
      <c r="O170" s="51">
        <v>0</v>
      </c>
      <c r="P170" s="51">
        <v>0</v>
      </c>
      <c r="Q170" s="38">
        <v>3</v>
      </c>
      <c r="R170" s="8"/>
      <c r="S170" s="8"/>
      <c r="T170" s="8"/>
    </row>
    <row r="171" spans="1:20" s="56" customFormat="1" hidden="1" outlineLevel="4">
      <c r="A171" s="43">
        <v>0</v>
      </c>
      <c r="B171" s="41" t="s">
        <v>38</v>
      </c>
      <c r="C171" s="41" t="s">
        <v>60</v>
      </c>
      <c r="D171" s="25" t="str">
        <f>IFERROR(VLOOKUP(C171,Todos,2,FALSE),"")</f>
        <v></v>
      </c>
      <c r="E171" s="42" t="s">
        <v>272</v>
      </c>
      <c r="F171" s="43">
        <v>60</v>
      </c>
      <c r="G171" s="28">
        <f t="shared" si="116"/>
        <v>45200.750000000065</v>
      </c>
      <c r="H171" s="28">
        <f t="shared" si="115"/>
        <v>45200.79166666673</v>
      </c>
      <c r="I171" s="29" t="s">
        <v>273</v>
      </c>
      <c r="J171" s="30">
        <v>1.4</v>
      </c>
      <c r="K171" s="31"/>
      <c r="L171" s="32"/>
      <c r="M171" s="31"/>
      <c r="N171" s="33"/>
      <c r="O171" s="51">
        <v>0</v>
      </c>
      <c r="P171" s="51">
        <v>0</v>
      </c>
      <c r="Q171" s="38">
        <v>3</v>
      </c>
      <c r="R171" s="8"/>
      <c r="S171" s="8"/>
      <c r="T171" s="8"/>
    </row>
    <row r="172" spans="1:20" s="56" customFormat="1" hidden="1" outlineLevel="4">
      <c r="A172" s="43">
        <v>0</v>
      </c>
      <c r="B172" s="41" t="s">
        <v>71</v>
      </c>
      <c r="C172" s="41" t="s">
        <v>72</v>
      </c>
      <c r="D172" s="25" t="str">
        <f t="shared" ref="D172:D204" si="130">IFERROR(VLOOKUP(C172,Todos,2,FALSE),"")</f>
        <v></v>
      </c>
      <c r="E172" s="42" t="s">
        <v>274</v>
      </c>
      <c r="F172" s="43">
        <v>60</v>
      </c>
      <c r="G172" s="28">
        <f t="shared" si="116"/>
        <v>45200.79166666673</v>
      </c>
      <c r="H172" s="28">
        <f t="shared" si="115"/>
        <v>45200.833333333394</v>
      </c>
      <c r="I172" s="29" t="s">
        <v>275</v>
      </c>
      <c r="J172" s="30"/>
      <c r="K172" s="31" t="s">
        <v>58</v>
      </c>
      <c r="L172" s="32">
        <v>1</v>
      </c>
      <c r="M172" s="31" t="s">
        <v>205</v>
      </c>
      <c r="N172" s="33">
        <v>50</v>
      </c>
      <c r="O172" s="51" cm="1">
        <f t="array" aca="1" ref="O172" ca="1">IF(K172="SI",IF(N172&lt;&gt;0,(INDIRECT(M172)*N172)/L172,0),0)</f>
        <v>0</v>
      </c>
      <c r="P172" s="51" t="e" cm="1">
        <f t="array" aca="1" ref="P172" ca="1">IF(N172&lt;&gt;0,(INDIRECT(M172)*N172)/L172,0)</f>
        <v>#REF!</v>
      </c>
      <c r="Q172" s="38">
        <v>3</v>
      </c>
      <c r="R172" s="8"/>
      <c r="S172" s="8"/>
      <c r="T172" s="8"/>
    </row>
    <row r="173" spans="1:20" s="56" customFormat="1" ht="21" hidden="1" outlineLevel="4">
      <c r="A173" s="43">
        <v>0</v>
      </c>
      <c r="B173" s="41" t="s">
        <v>24</v>
      </c>
      <c r="C173" s="41" t="s">
        <v>25</v>
      </c>
      <c r="D173" s="25" t="str">
        <f t="shared" ref="D173:D205" si="131">IFERROR(VLOOKUP(C173,Todos,2,FALSE),"")</f>
        <v></v>
      </c>
      <c r="E173" s="42" t="s">
        <v>276</v>
      </c>
      <c r="F173" s="43">
        <v>0</v>
      </c>
      <c r="G173" s="28">
        <f t="shared" si="116"/>
        <v>45200.833333333394</v>
      </c>
      <c r="H173" s="28">
        <f t="shared" si="115"/>
        <v>45200.833333333394</v>
      </c>
      <c r="I173" s="29" t="s">
        <v>277</v>
      </c>
      <c r="J173" s="30"/>
      <c r="K173" s="31"/>
      <c r="L173" s="32"/>
      <c r="M173" s="31"/>
      <c r="N173" s="33"/>
      <c r="O173" s="51" cm="1">
        <f t="array" aca="1" ref="O173" ca="1">IF(K173="SI",IF(N173&lt;&gt;0,(INDIRECT(M173)*N173)/L173,0),0)</f>
        <v>0</v>
      </c>
      <c r="P173" s="51" cm="1">
        <f t="array" aca="1" ref="P173" ca="1">IF(N173&lt;&gt;0,(INDIRECT(M173)*N173)/L173,0)</f>
        <v>0</v>
      </c>
      <c r="Q173" s="38">
        <v>3</v>
      </c>
      <c r="R173" s="8"/>
      <c r="S173" s="8"/>
      <c r="T173" s="8"/>
    </row>
    <row r="174" spans="1:20" s="56" customFormat="1" hidden="1" outlineLevel="4">
      <c r="A174" s="43">
        <v>0</v>
      </c>
      <c r="B174" s="41" t="s">
        <v>24</v>
      </c>
      <c r="C174" s="41" t="s">
        <v>35</v>
      </c>
      <c r="D174" s="25" t="str">
        <f t="shared" ref="D174:D206" si="132">IFERROR(VLOOKUP(C174,Todos,2,FALSE),"")</f>
        <v></v>
      </c>
      <c r="E174" s="42" t="s">
        <v>111</v>
      </c>
      <c r="F174" s="43">
        <v>120</v>
      </c>
      <c r="G174" s="28">
        <f t="shared" si="116"/>
        <v>45200.833333333394</v>
      </c>
      <c r="H174" s="28">
        <f t="shared" si="115"/>
        <v>45200.91666666673</v>
      </c>
      <c r="I174" s="29"/>
      <c r="J174" s="30"/>
      <c r="K174" s="31"/>
      <c r="L174" s="32"/>
      <c r="M174" s="31"/>
      <c r="N174" s="33"/>
      <c r="O174" s="51" cm="1">
        <f t="array" aca="1" ref="O174" ca="1">IF(K174="SI",IF(N174&lt;&gt;0,(INDIRECT(M174)*N174)/L174,0),0)</f>
        <v>0</v>
      </c>
      <c r="P174" s="51" cm="1">
        <f t="array" aca="1" ref="P174" ca="1">IF(N174&lt;&gt;0,(INDIRECT(M174)*N174)/L174,0)</f>
        <v>0</v>
      </c>
      <c r="Q174" s="38">
        <v>3</v>
      </c>
      <c r="R174" s="8"/>
      <c r="S174" s="8"/>
      <c r="T174" s="8"/>
    </row>
    <row r="175" spans="1:20" s="56" customFormat="1" hidden="1" outlineLevel="4">
      <c r="A175" s="43">
        <v>0</v>
      </c>
      <c r="B175" s="41" t="s">
        <v>24</v>
      </c>
      <c r="C175" s="41" t="s">
        <v>37</v>
      </c>
      <c r="D175" s="25" t="str">
        <f t="shared" ref="D175:D207" si="133">IFERROR(VLOOKUP(C175,Todos,2,FALSE),"")</f>
        <v></v>
      </c>
      <c r="E175" s="42" t="s">
        <v>37</v>
      </c>
      <c r="F175" s="43">
        <v>120</v>
      </c>
      <c r="G175" s="28">
        <f t="shared" si="116"/>
        <v>45200.91666666673</v>
      </c>
      <c r="H175" s="28">
        <f t="shared" si="115"/>
        <v>45201.000000000065</v>
      </c>
      <c r="I175" s="29"/>
      <c r="J175" s="30"/>
      <c r="K175" s="31"/>
      <c r="L175" s="32"/>
      <c r="M175" s="31"/>
      <c r="N175" s="33"/>
      <c r="O175" s="51" cm="1">
        <f t="array" aca="1" ref="O175" ca="1">IF(K175="SI",IF(N175&lt;&gt;0,(INDIRECT(M175)*N175)/L175,0),0)</f>
        <v>0</v>
      </c>
      <c r="P175" s="51" cm="1">
        <f t="array" aca="1" ref="P175" ca="1">IF(N175&lt;&gt;0,(INDIRECT(M175)*N175)/L175,0)</f>
        <v>0</v>
      </c>
      <c r="Q175" s="38">
        <v>3</v>
      </c>
      <c r="R175" s="8"/>
      <c r="S175" s="8"/>
      <c r="T175" s="8"/>
    </row>
    <row r="176" spans="1:20" s="56" customFormat="1" hidden="1" outlineLevel="3">
      <c r="A176" s="43">
        <v>0</v>
      </c>
      <c r="B176" s="41" t="s">
        <v>15</v>
      </c>
      <c r="C176" s="41" t="s">
        <v>22</v>
      </c>
      <c r="D176" s="25" t="str">
        <f t="shared" ref="D176:D208" si="134">IFERROR(VLOOKUP(C176,Todos,2,FALSE),"")</f>
        <v></v>
      </c>
      <c r="E176" s="55" t="s">
        <v>278</v>
      </c>
      <c r="F176" s="43">
        <f>SUM(F177:F179)</f>
        <v>445</v>
      </c>
      <c r="G176" s="28">
        <f>H175</f>
        <v>45201.000000000065</v>
      </c>
      <c r="H176" s="28">
        <f>G176+(F176/24)/60</f>
        <v>45201.309027777846</v>
      </c>
      <c r="I176" s="29" t="str">
        <f>PROPER(TEXT(G176,"dddd"))</f>
        <v>Lunes</v>
      </c>
      <c r="J176" s="30">
        <f>SUM(J177:J179)</f>
        <v>0</v>
      </c>
      <c r="K176" s="31"/>
      <c r="L176" s="32"/>
      <c r="M176" s="31"/>
      <c r="N176" s="48"/>
      <c r="O176" s="49">
        <f ca="1">SUM(O177:O179)</f>
        <v>0</v>
      </c>
      <c r="P176" s="49" t="e">
        <f ca="1">SUM(P177:P179)</f>
        <v>#REF!</v>
      </c>
      <c r="Q176" s="38">
        <f>AVERAGE(Q177:Q179)</f>
        <v>3</v>
      </c>
      <c r="R176" s="8"/>
      <c r="S176" s="8"/>
      <c r="T176" s="8"/>
    </row>
    <row r="177" spans="1:20" s="56" customFormat="1" hidden="1" outlineLevel="4">
      <c r="A177" s="43">
        <v>0</v>
      </c>
      <c r="B177" s="41" t="s">
        <v>24</v>
      </c>
      <c r="C177" s="41" t="s">
        <v>37</v>
      </c>
      <c r="D177" s="25" t="str">
        <f t="shared" si="134"/>
        <v></v>
      </c>
      <c r="E177" s="42" t="s">
        <v>37</v>
      </c>
      <c r="F177" s="43">
        <v>325</v>
      </c>
      <c r="G177" s="28">
        <f>H175</f>
        <v>45201.000000000065</v>
      </c>
      <c r="H177" s="28">
        <f>G177+(F177/24)/60</f>
        <v>45201.225694444511</v>
      </c>
      <c r="I177" s="29"/>
      <c r="J177" s="30"/>
      <c r="K177" s="31"/>
      <c r="L177" s="32"/>
      <c r="M177" s="31"/>
      <c r="N177" s="33"/>
      <c r="O177" s="51" cm="1">
        <f t="array" aca="1" ref="O177" ca="1">IF(K177="SI",IF(N177&lt;&gt;0,(INDIRECT(M177)*N177)/L177,0),0)</f>
        <v>0</v>
      </c>
      <c r="P177" s="51" cm="1">
        <f t="array" aca="1" ref="P177" ca="1">IF(N177&lt;&gt;0,(INDIRECT(M177)*N177)/L177,0)</f>
        <v>0</v>
      </c>
      <c r="Q177" s="38">
        <v>3</v>
      </c>
      <c r="R177" s="8"/>
      <c r="S177" s="8"/>
      <c r="T177" s="8"/>
    </row>
    <row r="178" spans="1:20" s="56" customFormat="1" hidden="1" outlineLevel="4">
      <c r="A178" s="43">
        <v>0</v>
      </c>
      <c r="B178" s="41" t="s">
        <v>38</v>
      </c>
      <c r="C178" s="41" t="s">
        <v>39</v>
      </c>
      <c r="D178" s="25" t="str">
        <f t="shared" ref="D178:D210" si="135">IFERROR(VLOOKUP(C178,Todos,2,FALSE),"")</f>
        <v></v>
      </c>
      <c r="E178" s="42" t="s">
        <v>279</v>
      </c>
      <c r="F178" s="43">
        <v>30</v>
      </c>
      <c r="G178" s="28">
        <f>H177</f>
        <v>45201.225694444511</v>
      </c>
      <c r="H178" s="28">
        <f t="shared" ref="H178:H180" si="136">G178+(F178/24)/60</f>
        <v>45201.246527777846</v>
      </c>
      <c r="I178" s="29" t="s">
        <v>280</v>
      </c>
      <c r="J178" s="30"/>
      <c r="K178" s="31" t="s">
        <v>58</v>
      </c>
      <c r="L178" s="32">
        <v>1</v>
      </c>
      <c r="M178" s="31" t="s">
        <v>205</v>
      </c>
      <c r="N178" s="33">
        <v>8</v>
      </c>
      <c r="O178" s="51" cm="1">
        <f t="array" aca="1" ref="O178" ca="1">IF(K178="SI",IF(N178&lt;&gt;0,(INDIRECT(M178)*N178)/L178,0),0)</f>
        <v>0</v>
      </c>
      <c r="P178" s="51" t="e" cm="1">
        <f t="array" aca="1" ref="P178" ca="1">IF(N178&lt;&gt;0,(INDIRECT(M178)*N178)/L178,0)</f>
        <v>#REF!</v>
      </c>
      <c r="Q178" s="38">
        <v>3</v>
      </c>
      <c r="R178" s="8"/>
      <c r="S178" s="8"/>
      <c r="T178" s="8"/>
    </row>
    <row r="179" spans="1:20" s="56" customFormat="1" hidden="1" outlineLevel="4">
      <c r="A179" s="43">
        <v>0</v>
      </c>
      <c r="B179" s="41" t="s">
        <v>42</v>
      </c>
      <c r="C179" s="41" t="s">
        <v>281</v>
      </c>
      <c r="D179" s="25" t="str">
        <f t="shared" ref="D179:D211" si="137">IFERROR(VLOOKUP(C179,Todos,2,FALSE),"")</f>
        <v></v>
      </c>
      <c r="E179" s="42" t="s">
        <v>282</v>
      </c>
      <c r="F179" s="43">
        <v>90</v>
      </c>
      <c r="G179" s="28">
        <f t="shared" ref="G179" si="138">H178</f>
        <v>45201.246527777846</v>
      </c>
      <c r="H179" s="28">
        <f t="shared" si="136"/>
        <v>45201.309027777846</v>
      </c>
      <c r="I179" s="29" t="s">
        <v>283</v>
      </c>
      <c r="J179" s="30"/>
      <c r="K179" s="31"/>
      <c r="L179" s="32"/>
      <c r="M179" s="31"/>
      <c r="N179" s="33"/>
      <c r="O179" s="51" cm="1">
        <f t="array" aca="1" ref="O179" ca="1">IF(K179="SI",IF(N179&lt;&gt;0,(INDIRECT(M179)*N179)/L179,0),0)</f>
        <v>0</v>
      </c>
      <c r="P179" s="51" cm="1">
        <f t="array" aca="1" ref="P179" ca="1">IF(N179&lt;&gt;0,(INDIRECT(M179)*N179)/L179,0)</f>
        <v>0</v>
      </c>
      <c r="Q179" s="38">
        <v>3</v>
      </c>
      <c r="R179" s="8"/>
      <c r="S179" s="8"/>
      <c r="T179" s="8"/>
    </row>
    <row r="180" spans="1:20" s="56" customFormat="1" ht="42" hidden="1" outlineLevel="2">
      <c r="A180" s="43">
        <v>2</v>
      </c>
      <c r="B180" s="41" t="s">
        <v>38</v>
      </c>
      <c r="C180" s="41" t="s">
        <v>46</v>
      </c>
      <c r="D180" s="25" t="str">
        <f t="shared" ref="D180:D212" si="139">IFERROR(VLOOKUP(C180,Todos,2,FALSE),"")</f>
        <v></v>
      </c>
      <c r="E180" s="42" t="s">
        <v>284</v>
      </c>
      <c r="F180" s="43">
        <v>45</v>
      </c>
      <c r="G180" s="28">
        <f>H179</f>
        <v>45201.309027777846</v>
      </c>
      <c r="H180" s="28">
        <f t="shared" si="136"/>
        <v>45201.340277777846</v>
      </c>
      <c r="I180" s="29" t="s">
        <v>285</v>
      </c>
      <c r="J180" s="30"/>
      <c r="K180" s="31" t="s">
        <v>27</v>
      </c>
      <c r="L180" s="32">
        <v>2</v>
      </c>
      <c r="M180" s="31" t="s">
        <v>28</v>
      </c>
      <c r="N180" s="33">
        <v>601988</v>
      </c>
      <c r="O180" s="51" t="e" cm="1">
        <f t="array" aca="1" ref="O180" ca="1">IF(K180="SI",IF(N180&lt;&gt;0,(INDIRECT(M180)*N180)/L180,0),0)</f>
        <v>#REF!</v>
      </c>
      <c r="P180" s="51" t="e" cm="1">
        <f t="array" aca="1" ref="P180" ca="1">IF(N180&lt;&gt;0,(INDIRECT(M180)*N180)/L180,0)</f>
        <v>#REF!</v>
      </c>
      <c r="Q180" s="38">
        <v>3</v>
      </c>
      <c r="R180" s="8"/>
      <c r="S180" s="8"/>
      <c r="T180" s="8"/>
    </row>
    <row r="181" spans="1:20" s="56" customFormat="1" hidden="1" outlineLevel="2">
      <c r="A181" s="43">
        <v>0</v>
      </c>
      <c r="B181" s="41" t="s">
        <v>15</v>
      </c>
      <c r="C181" s="41" t="s">
        <v>20</v>
      </c>
      <c r="D181" s="25" t="str">
        <f t="shared" ref="D181:D213" si="140">IFERROR(VLOOKUP(C181,Todos,2,FALSE),"")</f>
        <v></v>
      </c>
      <c r="E181" s="42" t="s">
        <v>286</v>
      </c>
      <c r="F181" s="43">
        <f>F182+F230+F215</f>
        <v>3825</v>
      </c>
      <c r="G181" s="28">
        <f>H180</f>
        <v>45201.340277777846</v>
      </c>
      <c r="H181" s="28">
        <f>G181+(F181/24)/60</f>
        <v>45203.996527777846</v>
      </c>
      <c r="I181" s="29" t="str">
        <f>PROPER(TEXT(G181,"dddd")) &amp; " - Días Totales: " &amp; ROUND(F181/1440,0)</f>
        <v>Lunes - Días Totales: 3</v>
      </c>
      <c r="J181" s="30">
        <f>J182+J230+J215</f>
        <v>33.200000000000003</v>
      </c>
      <c r="K181" s="31"/>
      <c r="L181" s="32"/>
      <c r="M181" s="31"/>
      <c r="N181" s="33"/>
      <c r="O181" s="51" t="e">
        <f ca="1">O182+O230+O215</f>
        <v>#REF!</v>
      </c>
      <c r="P181" s="51" t="e">
        <f ca="1">P182+P230+P215</f>
        <v>#REF!</v>
      </c>
      <c r="Q181" s="38">
        <f>AVERAGE(Q182,Q230)</f>
        <v>3</v>
      </c>
      <c r="R181" s="8"/>
      <c r="S181" s="8"/>
      <c r="T181" s="8"/>
    </row>
    <row r="182" spans="1:20" s="56" customFormat="1" hidden="1" outlineLevel="3">
      <c r="A182" s="43">
        <v>0</v>
      </c>
      <c r="B182" s="41" t="s">
        <v>15</v>
      </c>
      <c r="C182" s="41" t="s">
        <v>22</v>
      </c>
      <c r="D182" s="25" t="str">
        <f t="shared" si="140"/>
        <v></v>
      </c>
      <c r="E182" s="55" t="s">
        <v>287</v>
      </c>
      <c r="F182" s="43">
        <f>SUM(F183:F214)</f>
        <v>950</v>
      </c>
      <c r="G182" s="28">
        <f>H180</f>
        <v>45201.340277777846</v>
      </c>
      <c r="H182" s="28">
        <f t="shared" ref="H182:H243" si="141">G182+(F182/24)/60</f>
        <v>45202.000000000065</v>
      </c>
      <c r="I182" s="29" t="str">
        <f>PROPER(TEXT(G182,"dddd"))</f>
        <v>Lunes</v>
      </c>
      <c r="J182" s="30">
        <f>SUM(J183:J214)</f>
        <v>12.2</v>
      </c>
      <c r="K182" s="31"/>
      <c r="L182" s="32"/>
      <c r="M182" s="31"/>
      <c r="N182" s="48"/>
      <c r="O182" s="49" t="e">
        <f ca="1">SUM(O183:O214)</f>
        <v>#REF!</v>
      </c>
      <c r="P182" s="49" t="e">
        <f ca="1">SUM(P183:P214)</f>
        <v>#REF!</v>
      </c>
      <c r="Q182" s="38">
        <f>AVERAGE(Q183:Q214)</f>
        <v>3</v>
      </c>
      <c r="R182" s="8"/>
      <c r="S182" s="8"/>
      <c r="T182" s="8"/>
    </row>
    <row r="183" spans="1:20" s="56" customFormat="1" hidden="1" outlineLevel="4">
      <c r="A183" s="43">
        <v>0</v>
      </c>
      <c r="B183" s="41" t="s">
        <v>42</v>
      </c>
      <c r="C183" s="41" t="s">
        <v>288</v>
      </c>
      <c r="D183" s="25" t="str">
        <f t="shared" si="140"/>
        <v></v>
      </c>
      <c r="E183" s="42" t="s">
        <v>288</v>
      </c>
      <c r="F183" s="43">
        <v>30</v>
      </c>
      <c r="G183" s="28">
        <f>H180</f>
        <v>45201.340277777846</v>
      </c>
      <c r="H183" s="28">
        <f t="shared" si="141"/>
        <v>45201.361111111182</v>
      </c>
      <c r="I183" s="29" t="s">
        <v>289</v>
      </c>
      <c r="J183" s="30"/>
      <c r="K183" s="31"/>
      <c r="L183" s="32"/>
      <c r="M183" s="31"/>
      <c r="N183" s="33"/>
      <c r="O183" s="51" cm="1">
        <f t="array" aca="1" ref="O183" ca="1">IF(K183="SI",IF(N183&lt;&gt;0,(INDIRECT(M183)*N183)/L183,0),0)</f>
        <v>0</v>
      </c>
      <c r="P183" s="51" cm="1">
        <f t="array" aca="1" ref="P183" ca="1">IF(N183&lt;&gt;0,(INDIRECT(M183)*N183)/L183,0)</f>
        <v>0</v>
      </c>
      <c r="Q183" s="38">
        <v>3</v>
      </c>
      <c r="R183" s="8"/>
      <c r="S183" s="8"/>
      <c r="T183" s="8"/>
    </row>
    <row r="184" spans="1:20" s="56" customFormat="1" hidden="1" outlineLevel="4">
      <c r="A184" s="43">
        <v>0</v>
      </c>
      <c r="B184" s="41" t="s">
        <v>24</v>
      </c>
      <c r="C184" s="41" t="s">
        <v>25</v>
      </c>
      <c r="D184" s="25" t="str">
        <f t="shared" ref="D184:D216" si="142">IFERROR(VLOOKUP(C184,Todos,2,FALSE),"")</f>
        <v></v>
      </c>
      <c r="E184" s="42" t="s">
        <v>290</v>
      </c>
      <c r="F184" s="43">
        <v>0</v>
      </c>
      <c r="G184" s="28">
        <f>H183</f>
        <v>45201.361111111182</v>
      </c>
      <c r="H184" s="28">
        <f t="shared" si="141"/>
        <v>45201.361111111182</v>
      </c>
      <c r="I184" s="29" t="s">
        <v>291</v>
      </c>
      <c r="J184" s="30"/>
      <c r="K184" s="31" t="s">
        <v>58</v>
      </c>
      <c r="L184" s="32">
        <v>1</v>
      </c>
      <c r="M184" s="31" t="s">
        <v>205</v>
      </c>
      <c r="N184" s="33">
        <v>20</v>
      </c>
      <c r="O184" s="51" cm="1">
        <f t="array" aca="1" ref="O184" ca="1">IF(K184="SI",IF(N184&lt;&gt;0,(INDIRECT(M184)*N184)/L184,0),0)</f>
        <v>0</v>
      </c>
      <c r="P184" s="51" t="e" cm="1">
        <f t="array" aca="1" ref="P184" ca="1">IF(N184&lt;&gt;0,(INDIRECT(M184)*N184)/L184,0)</f>
        <v>#REF!</v>
      </c>
      <c r="Q184" s="38">
        <v>3</v>
      </c>
      <c r="R184" s="8"/>
      <c r="S184" s="8"/>
      <c r="T184" s="8"/>
    </row>
    <row r="185" spans="1:20" s="56" customFormat="1" ht="21" hidden="1" outlineLevel="4">
      <c r="A185" s="43">
        <v>0</v>
      </c>
      <c r="B185" s="41" t="s">
        <v>38</v>
      </c>
      <c r="C185" s="41" t="s">
        <v>55</v>
      </c>
      <c r="D185" s="25" t="str">
        <f t="shared" ref="D185:D217" si="143">IFERROR(VLOOKUP(C185,Todos,2,FALSE),"")</f>
        <v></v>
      </c>
      <c r="E185" s="42" t="s">
        <v>292</v>
      </c>
      <c r="F185" s="43">
        <v>50</v>
      </c>
      <c r="G185" s="28">
        <f>H184</f>
        <v>45201.361111111182</v>
      </c>
      <c r="H185" s="28">
        <f t="shared" si="141"/>
        <v>45201.395833333401</v>
      </c>
      <c r="I185" s="29" t="s">
        <v>293</v>
      </c>
      <c r="J185" s="30"/>
      <c r="K185" s="31" t="s">
        <v>27</v>
      </c>
      <c r="L185" s="32">
        <v>1</v>
      </c>
      <c r="M185" s="31" t="s">
        <v>205</v>
      </c>
      <c r="N185" s="33">
        <v>0</v>
      </c>
      <c r="O185" s="51" cm="1">
        <f t="array" aca="1" ref="O185" ca="1">IF(K185="SI",IF(N185&lt;&gt;0,(INDIRECT(M185)*N185)/L185,0),0)</f>
        <v>0</v>
      </c>
      <c r="P185" s="51" cm="1">
        <f t="array" aca="1" ref="P185" ca="1">IF(N185&lt;&gt;0,(INDIRECT(M185)*N185)/L185,0)</f>
        <v>0</v>
      </c>
      <c r="Q185" s="38">
        <v>3</v>
      </c>
      <c r="R185" s="8"/>
      <c r="S185" s="8"/>
      <c r="T185" s="8"/>
    </row>
    <row r="186" spans="1:20" s="56" customFormat="1" hidden="1" outlineLevel="4">
      <c r="A186" s="43">
        <v>0</v>
      </c>
      <c r="B186" s="41" t="s">
        <v>38</v>
      </c>
      <c r="C186" s="41" t="s">
        <v>60</v>
      </c>
      <c r="D186" s="25" t="str">
        <f t="shared" ref="D186:D218" si="144">IFERROR(VLOOKUP(C186,Todos,2,FALSE),"")</f>
        <v></v>
      </c>
      <c r="E186" s="42" t="s">
        <v>294</v>
      </c>
      <c r="F186" s="43">
        <v>10</v>
      </c>
      <c r="G186" s="28">
        <f t="shared" ref="G186:G214" si="145">H185</f>
        <v>45201.395833333401</v>
      </c>
      <c r="H186" s="28">
        <f t="shared" si="141"/>
        <v>45201.402777777846</v>
      </c>
      <c r="I186" s="29"/>
      <c r="J186" s="30">
        <v>0.5</v>
      </c>
      <c r="K186" s="31"/>
      <c r="L186" s="32"/>
      <c r="M186" s="31"/>
      <c r="N186" s="33"/>
      <c r="O186" s="51">
        <v>0</v>
      </c>
      <c r="P186" s="51">
        <v>0</v>
      </c>
      <c r="Q186" s="38">
        <v>3</v>
      </c>
      <c r="R186" s="8"/>
      <c r="S186" s="8"/>
      <c r="T186" s="8"/>
    </row>
    <row r="187" spans="1:20" s="56" customFormat="1" ht="31.5" hidden="1" outlineLevel="4">
      <c r="A187" s="43">
        <v>0</v>
      </c>
      <c r="B187" s="41" t="s">
        <v>62</v>
      </c>
      <c r="C187" s="41" t="s">
        <v>63</v>
      </c>
      <c r="D187" s="25" t="str">
        <f t="shared" si="144"/>
        <v></v>
      </c>
      <c r="E187" s="42" t="s">
        <v>295</v>
      </c>
      <c r="F187" s="43">
        <v>20</v>
      </c>
      <c r="G187" s="28">
        <f t="shared" si="145"/>
        <v>45201.402777777846</v>
      </c>
      <c r="H187" s="28">
        <f t="shared" si="141"/>
        <v>45201.416666666737</v>
      </c>
      <c r="I187" s="29" t="s">
        <v>296</v>
      </c>
      <c r="J187" s="30"/>
      <c r="K187" s="31" t="s">
        <v>27</v>
      </c>
      <c r="L187" s="32">
        <v>3</v>
      </c>
      <c r="M187" s="31" t="s">
        <v>28</v>
      </c>
      <c r="N187" s="33">
        <v>874230</v>
      </c>
      <c r="O187" s="51" t="e" cm="1">
        <f t="array" aca="1" ref="O187" ca="1">IF(K187="SI",IF(N187&lt;&gt;0,(INDIRECT(M187)*N187)/L187,0),0)</f>
        <v>#REF!</v>
      </c>
      <c r="P187" s="51" t="e" cm="1">
        <f t="array" aca="1" ref="P187" ca="1">IF(N187&lt;&gt;0,(INDIRECT(M187)*N187)/L187,0)</f>
        <v>#REF!</v>
      </c>
      <c r="Q187" s="38">
        <v>3</v>
      </c>
      <c r="R187" s="8"/>
      <c r="S187" s="8"/>
      <c r="T187" s="8"/>
    </row>
    <row r="188" spans="1:20" s="56" customFormat="1" hidden="1" outlineLevel="4">
      <c r="A188" s="43">
        <v>0</v>
      </c>
      <c r="B188" s="41" t="s">
        <v>38</v>
      </c>
      <c r="C188" s="41" t="s">
        <v>60</v>
      </c>
      <c r="D188" s="25" t="str">
        <f t="shared" ref="D188:D220" si="146">IFERROR(VLOOKUP(C188,Todos,2,FALSE),"")</f>
        <v></v>
      </c>
      <c r="E188" s="42" t="s">
        <v>297</v>
      </c>
      <c r="F188" s="43">
        <v>30</v>
      </c>
      <c r="G188" s="28">
        <f t="shared" si="145"/>
        <v>45201.416666666737</v>
      </c>
      <c r="H188" s="28">
        <f t="shared" si="141"/>
        <v>45201.437500000073</v>
      </c>
      <c r="I188" s="29"/>
      <c r="J188" s="30">
        <v>0.5</v>
      </c>
      <c r="K188" s="31"/>
      <c r="L188" s="32"/>
      <c r="M188" s="31"/>
      <c r="N188" s="33"/>
      <c r="O188" s="51">
        <v>0</v>
      </c>
      <c r="P188" s="51">
        <v>0</v>
      </c>
      <c r="Q188" s="38">
        <v>3</v>
      </c>
      <c r="R188" s="8"/>
      <c r="S188" s="8"/>
      <c r="T188" s="8"/>
    </row>
    <row r="189" spans="1:20" s="56" customFormat="1" ht="42" hidden="1" outlineLevel="4">
      <c r="A189" s="43">
        <v>0</v>
      </c>
      <c r="B189" s="41" t="s">
        <v>24</v>
      </c>
      <c r="C189" s="41" t="s">
        <v>83</v>
      </c>
      <c r="D189" s="25" t="str">
        <f t="shared" si="146"/>
        <v></v>
      </c>
      <c r="E189" s="42" t="s">
        <v>298</v>
      </c>
      <c r="F189" s="43">
        <v>180</v>
      </c>
      <c r="G189" s="28">
        <f t="shared" si="145"/>
        <v>45201.437500000073</v>
      </c>
      <c r="H189" s="28">
        <f t="shared" si="141"/>
        <v>45201.562500000073</v>
      </c>
      <c r="I189" s="29" t="s">
        <v>299</v>
      </c>
      <c r="J189" s="30">
        <v>6.5</v>
      </c>
      <c r="K189" s="31" t="s">
        <v>58</v>
      </c>
      <c r="L189" s="32">
        <v>1</v>
      </c>
      <c r="M189" s="31" t="s">
        <v>205</v>
      </c>
      <c r="N189" s="33">
        <v>5</v>
      </c>
      <c r="O189" s="51" cm="1">
        <f t="array" aca="1" ref="O189" ca="1">IF(K189="SI",IF(N189&lt;&gt;0,(INDIRECT(M189)*N189)/L189,0),0)</f>
        <v>0</v>
      </c>
      <c r="P189" s="51" t="e" cm="1">
        <f t="array" aca="1" ref="P189" ca="1">IF(N189&lt;&gt;0,(INDIRECT(M189)*N189)/L189,0)</f>
        <v>#REF!</v>
      </c>
      <c r="Q189" s="38">
        <v>3</v>
      </c>
      <c r="R189" s="8"/>
      <c r="S189" s="8"/>
      <c r="T189" s="8"/>
    </row>
    <row r="190" spans="1:20" s="56" customFormat="1" hidden="1" outlineLevel="4">
      <c r="A190" s="43">
        <v>0</v>
      </c>
      <c r="B190" s="41" t="s">
        <v>62</v>
      </c>
      <c r="C190" s="41" t="s">
        <v>260</v>
      </c>
      <c r="D190" s="25" t="str">
        <f t="shared" ref="D190:D222" si="147">IFERROR(VLOOKUP(C190,Todos,2,FALSE),"")</f>
        <v></v>
      </c>
      <c r="E190" s="42" t="s">
        <v>300</v>
      </c>
      <c r="F190" s="43">
        <v>0</v>
      </c>
      <c r="G190" s="28">
        <f t="shared" si="145"/>
        <v>45201.562500000073</v>
      </c>
      <c r="H190" s="28">
        <f t="shared" si="141"/>
        <v>45201.562500000073</v>
      </c>
      <c r="I190" s="29" t="s">
        <v>88</v>
      </c>
      <c r="J190" s="30"/>
      <c r="K190" s="31" t="s">
        <v>27</v>
      </c>
      <c r="L190" s="32">
        <v>1</v>
      </c>
      <c r="M190" s="31" t="s">
        <v>205</v>
      </c>
      <c r="N190" s="33">
        <v>0</v>
      </c>
      <c r="O190" s="51" cm="1">
        <f t="array" aca="1" ref="O190" ca="1">IF(K190="SI",IF(N190&lt;&gt;0,(INDIRECT(M190)*N190)/L190,0),0)</f>
        <v>0</v>
      </c>
      <c r="P190" s="51" cm="1">
        <f t="array" aca="1" ref="P190" ca="1">IF(N190&lt;&gt;0,(INDIRECT(M190)*N190)/L190,0)</f>
        <v>0</v>
      </c>
      <c r="Q190" s="38">
        <v>3</v>
      </c>
      <c r="R190" s="8"/>
      <c r="S190" s="8"/>
      <c r="T190" s="8"/>
    </row>
    <row r="191" spans="1:20" s="56" customFormat="1" hidden="1" outlineLevel="4">
      <c r="A191" s="43">
        <v>0</v>
      </c>
      <c r="B191" s="41" t="s">
        <v>62</v>
      </c>
      <c r="C191" s="41" t="s">
        <v>260</v>
      </c>
      <c r="D191" s="25" t="str">
        <f t="shared" ref="D191:D223" si="148">IFERROR(VLOOKUP(C191,Todos,2,FALSE),"")</f>
        <v></v>
      </c>
      <c r="E191" s="42" t="s">
        <v>301</v>
      </c>
      <c r="F191" s="43">
        <v>0</v>
      </c>
      <c r="G191" s="28">
        <f t="shared" si="145"/>
        <v>45201.562500000073</v>
      </c>
      <c r="H191" s="28">
        <f t="shared" si="141"/>
        <v>45201.562500000073</v>
      </c>
      <c r="I191" s="29" t="s">
        <v>88</v>
      </c>
      <c r="J191" s="30"/>
      <c r="K191" s="31" t="s">
        <v>27</v>
      </c>
      <c r="L191" s="32">
        <v>1</v>
      </c>
      <c r="M191" s="31" t="s">
        <v>205</v>
      </c>
      <c r="N191" s="33">
        <v>0</v>
      </c>
      <c r="O191" s="51" cm="1">
        <f t="array" aca="1" ref="O191" ca="1">IF(K191="SI",IF(N191&lt;&gt;0,(INDIRECT(M191)*N191)/L191,0),0)</f>
        <v>0</v>
      </c>
      <c r="P191" s="51" cm="1">
        <f t="array" aca="1" ref="P191" ca="1">IF(N191&lt;&gt;0,(INDIRECT(M191)*N191)/L191,0)</f>
        <v>0</v>
      </c>
      <c r="Q191" s="38">
        <v>3</v>
      </c>
      <c r="R191" s="8"/>
      <c r="S191" s="8"/>
      <c r="T191" s="8"/>
    </row>
    <row r="192" spans="1:20" s="56" customFormat="1" hidden="1" outlineLevel="4">
      <c r="A192" s="43">
        <v>0</v>
      </c>
      <c r="B192" s="41" t="s">
        <v>62</v>
      </c>
      <c r="C192" s="41" t="s">
        <v>260</v>
      </c>
      <c r="D192" s="25" t="str">
        <f t="shared" ref="D192:D224" si="149">IFERROR(VLOOKUP(C192,Todos,2,FALSE),"")</f>
        <v></v>
      </c>
      <c r="E192" s="42" t="s">
        <v>302</v>
      </c>
      <c r="F192" s="43">
        <v>0</v>
      </c>
      <c r="G192" s="28">
        <f t="shared" si="145"/>
        <v>45201.562500000073</v>
      </c>
      <c r="H192" s="28">
        <f t="shared" si="141"/>
        <v>45201.562500000073</v>
      </c>
      <c r="I192" s="29" t="s">
        <v>88</v>
      </c>
      <c r="J192" s="30"/>
      <c r="K192" s="31" t="s">
        <v>27</v>
      </c>
      <c r="L192" s="32">
        <v>1</v>
      </c>
      <c r="M192" s="31" t="s">
        <v>205</v>
      </c>
      <c r="N192" s="33">
        <v>0</v>
      </c>
      <c r="O192" s="51" cm="1">
        <f t="array" aca="1" ref="O192" ca="1">IF(K192="SI",IF(N192&lt;&gt;0,(INDIRECT(M192)*N192)/L192,0),0)</f>
        <v>0</v>
      </c>
      <c r="P192" s="51" cm="1">
        <f t="array" aca="1" ref="P192" ca="1">IF(N192&lt;&gt;0,(INDIRECT(M192)*N192)/L192,0)</f>
        <v>0</v>
      </c>
      <c r="Q192" s="38">
        <v>3</v>
      </c>
      <c r="R192" s="8"/>
      <c r="S192" s="8"/>
      <c r="T192" s="8"/>
    </row>
    <row r="193" spans="1:20" s="56" customFormat="1" hidden="1" outlineLevel="4">
      <c r="A193" s="43">
        <v>0</v>
      </c>
      <c r="B193" s="41" t="s">
        <v>62</v>
      </c>
      <c r="C193" s="41" t="s">
        <v>80</v>
      </c>
      <c r="D193" s="25" t="str">
        <f t="shared" ref="D193:D225" si="150">IFERROR(VLOOKUP(C193,Todos,2,FALSE),"")</f>
        <v></v>
      </c>
      <c r="E193" s="42" t="s">
        <v>303</v>
      </c>
      <c r="F193" s="43">
        <v>0</v>
      </c>
      <c r="G193" s="28">
        <f t="shared" si="145"/>
        <v>45201.562500000073</v>
      </c>
      <c r="H193" s="28">
        <f t="shared" si="141"/>
        <v>45201.562500000073</v>
      </c>
      <c r="I193" s="29" t="s">
        <v>88</v>
      </c>
      <c r="J193" s="30"/>
      <c r="K193" s="31" t="s">
        <v>27</v>
      </c>
      <c r="L193" s="32">
        <v>1</v>
      </c>
      <c r="M193" s="31" t="s">
        <v>205</v>
      </c>
      <c r="N193" s="33">
        <v>0</v>
      </c>
      <c r="O193" s="51" cm="1">
        <f t="array" aca="1" ref="O193" ca="1">IF(K193="SI",IF(N193&lt;&gt;0,(INDIRECT(M193)*N193)/L193,0),0)</f>
        <v>0</v>
      </c>
      <c r="P193" s="51" cm="1">
        <f t="array" aca="1" ref="P193" ca="1">IF(N193&lt;&gt;0,(INDIRECT(M193)*N193)/L193,0)</f>
        <v>0</v>
      </c>
      <c r="Q193" s="38">
        <v>3</v>
      </c>
      <c r="R193" s="8"/>
      <c r="S193" s="8"/>
      <c r="T193" s="8"/>
    </row>
    <row r="194" spans="1:20" s="56" customFormat="1" hidden="1" outlineLevel="4">
      <c r="A194" s="43">
        <v>0</v>
      </c>
      <c r="B194" s="41" t="s">
        <v>62</v>
      </c>
      <c r="C194" s="41" t="s">
        <v>119</v>
      </c>
      <c r="D194" s="25" t="str">
        <f t="shared" ref="D194:D226" si="151">IFERROR(VLOOKUP(C194,Todos,2,FALSE),"")</f>
        <v></v>
      </c>
      <c r="E194" s="42" t="s">
        <v>304</v>
      </c>
      <c r="F194" s="43">
        <v>0</v>
      </c>
      <c r="G194" s="28">
        <f t="shared" si="145"/>
        <v>45201.562500000073</v>
      </c>
      <c r="H194" s="28">
        <f t="shared" si="141"/>
        <v>45201.562500000073</v>
      </c>
      <c r="I194" s="29" t="s">
        <v>88</v>
      </c>
      <c r="J194" s="30"/>
      <c r="K194" s="31" t="s">
        <v>27</v>
      </c>
      <c r="L194" s="32">
        <v>1</v>
      </c>
      <c r="M194" s="31" t="s">
        <v>205</v>
      </c>
      <c r="N194" s="33">
        <v>0</v>
      </c>
      <c r="O194" s="51" cm="1">
        <f t="array" aca="1" ref="O194" ca="1">IF(K194="SI",IF(N194&lt;&gt;0,(INDIRECT(M194)*N194)/L194,0),0)</f>
        <v>0</v>
      </c>
      <c r="P194" s="51" cm="1">
        <f t="array" aca="1" ref="P194" ca="1">IF(N194&lt;&gt;0,(INDIRECT(M194)*N194)/L194,0)</f>
        <v>0</v>
      </c>
      <c r="Q194" s="38">
        <v>3</v>
      </c>
      <c r="R194" s="8"/>
      <c r="S194" s="8"/>
      <c r="T194" s="8"/>
    </row>
    <row r="195" spans="1:20" s="56" customFormat="1" hidden="1" outlineLevel="4">
      <c r="A195" s="43">
        <v>0</v>
      </c>
      <c r="B195" s="41" t="s">
        <v>62</v>
      </c>
      <c r="C195" s="41" t="s">
        <v>80</v>
      </c>
      <c r="D195" s="25" t="str">
        <f t="shared" ref="D195:D227" si="152">IFERROR(VLOOKUP(C195,Todos,2,FALSE),"")</f>
        <v></v>
      </c>
      <c r="E195" s="42" t="s">
        <v>305</v>
      </c>
      <c r="F195" s="43">
        <v>0</v>
      </c>
      <c r="G195" s="28">
        <f t="shared" si="145"/>
        <v>45201.562500000073</v>
      </c>
      <c r="H195" s="28">
        <f t="shared" si="141"/>
        <v>45201.562500000073</v>
      </c>
      <c r="I195" s="29" t="s">
        <v>88</v>
      </c>
      <c r="J195" s="30"/>
      <c r="K195" s="31" t="s">
        <v>27</v>
      </c>
      <c r="L195" s="32">
        <v>1</v>
      </c>
      <c r="M195" s="31" t="s">
        <v>205</v>
      </c>
      <c r="N195" s="33">
        <v>0</v>
      </c>
      <c r="O195" s="51" cm="1">
        <f t="array" aca="1" ref="O195" ca="1">IF(K195="SI",IF(N195&lt;&gt;0,(INDIRECT(M195)*N195)/L195,0),0)</f>
        <v>0</v>
      </c>
      <c r="P195" s="51" cm="1">
        <f t="array" aca="1" ref="P195" ca="1">IF(N195&lt;&gt;0,(INDIRECT(M195)*N195)/L195,0)</f>
        <v>0</v>
      </c>
      <c r="Q195" s="38">
        <v>3</v>
      </c>
      <c r="R195" s="8"/>
      <c r="S195" s="8"/>
      <c r="T195" s="8"/>
    </row>
    <row r="196" spans="1:20" s="56" customFormat="1" hidden="1" outlineLevel="4">
      <c r="A196" s="43">
        <v>0</v>
      </c>
      <c r="B196" s="41" t="s">
        <v>62</v>
      </c>
      <c r="C196" s="41" t="s">
        <v>80</v>
      </c>
      <c r="D196" s="25" t="str">
        <f t="shared" ref="D196:D228" si="153">IFERROR(VLOOKUP(C196,Todos,2,FALSE),"")</f>
        <v></v>
      </c>
      <c r="E196" s="42" t="s">
        <v>306</v>
      </c>
      <c r="F196" s="43">
        <v>0</v>
      </c>
      <c r="G196" s="28">
        <f t="shared" si="145"/>
        <v>45201.562500000073</v>
      </c>
      <c r="H196" s="28">
        <f t="shared" si="141"/>
        <v>45201.562500000073</v>
      </c>
      <c r="I196" s="29" t="s">
        <v>88</v>
      </c>
      <c r="J196" s="30"/>
      <c r="K196" s="31" t="s">
        <v>27</v>
      </c>
      <c r="L196" s="32">
        <v>1</v>
      </c>
      <c r="M196" s="31" t="s">
        <v>205</v>
      </c>
      <c r="N196" s="33">
        <v>0</v>
      </c>
      <c r="O196" s="51" cm="1">
        <f t="array" aca="1" ref="O196" ca="1">IF(K196="SI",IF(N196&lt;&gt;0,(INDIRECT(M196)*N196)/L196,0),0)</f>
        <v>0</v>
      </c>
      <c r="P196" s="51" cm="1">
        <f t="array" aca="1" ref="P196" ca="1">IF(N196&lt;&gt;0,(INDIRECT(M196)*N196)/L196,0)</f>
        <v>0</v>
      </c>
      <c r="Q196" s="38">
        <v>3</v>
      </c>
      <c r="R196" s="8"/>
      <c r="S196" s="8"/>
      <c r="T196" s="8"/>
    </row>
    <row r="197" spans="1:20" s="56" customFormat="1" hidden="1" outlineLevel="4">
      <c r="A197" s="43">
        <v>0</v>
      </c>
      <c r="B197" s="41" t="s">
        <v>62</v>
      </c>
      <c r="C197" s="41" t="s">
        <v>89</v>
      </c>
      <c r="D197" s="25" t="str">
        <f t="shared" ref="D197:D229" si="154">IFERROR(VLOOKUP(C197,Todos,2,FALSE),"")</f>
        <v></v>
      </c>
      <c r="E197" s="42" t="s">
        <v>307</v>
      </c>
      <c r="F197" s="43">
        <v>0</v>
      </c>
      <c r="G197" s="28">
        <f t="shared" si="145"/>
        <v>45201.562500000073</v>
      </c>
      <c r="H197" s="28">
        <f t="shared" si="141"/>
        <v>45201.562500000073</v>
      </c>
      <c r="I197" s="29" t="s">
        <v>88</v>
      </c>
      <c r="J197" s="30"/>
      <c r="K197" s="31" t="s">
        <v>27</v>
      </c>
      <c r="L197" s="32">
        <v>1</v>
      </c>
      <c r="M197" s="31" t="s">
        <v>205</v>
      </c>
      <c r="N197" s="33">
        <v>0</v>
      </c>
      <c r="O197" s="51" cm="1">
        <f t="array" aca="1" ref="O197" ca="1">IF(K197="SI",IF(N197&lt;&gt;0,(INDIRECT(M197)*N197)/L197,0),0)</f>
        <v>0</v>
      </c>
      <c r="P197" s="51" cm="1">
        <f t="array" aca="1" ref="P197" ca="1">IF(N197&lt;&gt;0,(INDIRECT(M197)*N197)/L197,0)</f>
        <v>0</v>
      </c>
      <c r="Q197" s="38">
        <v>3</v>
      </c>
      <c r="R197" s="8"/>
      <c r="S197" s="8"/>
      <c r="T197" s="8"/>
    </row>
    <row r="198" spans="1:20" s="56" customFormat="1" hidden="1" outlineLevel="4">
      <c r="A198" s="43">
        <v>0</v>
      </c>
      <c r="B198" s="41" t="s">
        <v>62</v>
      </c>
      <c r="C198" s="41" t="s">
        <v>89</v>
      </c>
      <c r="D198" s="25" t="str">
        <f t="shared" ref="D198:D230" si="155">IFERROR(VLOOKUP(C198,Todos,2,FALSE),"")</f>
        <v></v>
      </c>
      <c r="E198" s="42" t="s">
        <v>308</v>
      </c>
      <c r="F198" s="43">
        <v>0</v>
      </c>
      <c r="G198" s="28">
        <f t="shared" si="145"/>
        <v>45201.562500000073</v>
      </c>
      <c r="H198" s="28">
        <f t="shared" si="141"/>
        <v>45201.562500000073</v>
      </c>
      <c r="I198" s="29" t="s">
        <v>88</v>
      </c>
      <c r="J198" s="30"/>
      <c r="K198" s="31" t="s">
        <v>27</v>
      </c>
      <c r="L198" s="32">
        <v>1</v>
      </c>
      <c r="M198" s="31" t="s">
        <v>205</v>
      </c>
      <c r="N198" s="33">
        <v>0</v>
      </c>
      <c r="O198" s="51" cm="1">
        <f t="array" aca="1" ref="O198" ca="1">IF(K198="SI",IF(N198&lt;&gt;0,(INDIRECT(M198)*N198)/L198,0),0)</f>
        <v>0</v>
      </c>
      <c r="P198" s="51" cm="1">
        <f t="array" aca="1" ref="P198" ca="1">IF(N198&lt;&gt;0,(INDIRECT(M198)*N198)/L198,0)</f>
        <v>0</v>
      </c>
      <c r="Q198" s="38">
        <v>3</v>
      </c>
      <c r="R198" s="8"/>
      <c r="S198" s="8"/>
      <c r="T198" s="8"/>
    </row>
    <row r="199" spans="1:20" s="56" customFormat="1" hidden="1" outlineLevel="4">
      <c r="A199" s="43">
        <v>0</v>
      </c>
      <c r="B199" s="41" t="s">
        <v>62</v>
      </c>
      <c r="C199" s="41" t="s">
        <v>171</v>
      </c>
      <c r="D199" s="25" t="str">
        <f t="shared" ref="D199:D231" si="156">IFERROR(VLOOKUP(C199,Todos,2,FALSE),"")</f>
        <v></v>
      </c>
      <c r="E199" s="42" t="s">
        <v>309</v>
      </c>
      <c r="F199" s="43">
        <v>0</v>
      </c>
      <c r="G199" s="28">
        <f t="shared" si="145"/>
        <v>45201.562500000073</v>
      </c>
      <c r="H199" s="28">
        <f t="shared" si="141"/>
        <v>45201.562500000073</v>
      </c>
      <c r="I199" s="29" t="s">
        <v>88</v>
      </c>
      <c r="J199" s="30"/>
      <c r="K199" s="31" t="s">
        <v>27</v>
      </c>
      <c r="L199" s="32">
        <v>1</v>
      </c>
      <c r="M199" s="31" t="s">
        <v>205</v>
      </c>
      <c r="N199" s="33">
        <v>0</v>
      </c>
      <c r="O199" s="51" cm="1">
        <f t="array" aca="1" ref="O199" ca="1">IF(K199="SI",IF(N199&lt;&gt;0,(INDIRECT(M199)*N199)/L199,0),0)</f>
        <v>0</v>
      </c>
      <c r="P199" s="51" cm="1">
        <f t="array" aca="1" ref="P199" ca="1">IF(N199&lt;&gt;0,(INDIRECT(M199)*N199)/L199,0)</f>
        <v>0</v>
      </c>
      <c r="Q199" s="38">
        <v>3</v>
      </c>
      <c r="R199" s="8"/>
      <c r="S199" s="8"/>
      <c r="T199" s="8"/>
    </row>
    <row r="200" spans="1:20" s="56" customFormat="1" hidden="1" outlineLevel="4">
      <c r="A200" s="43">
        <v>0</v>
      </c>
      <c r="B200" s="41" t="s">
        <v>62</v>
      </c>
      <c r="C200" s="41" t="s">
        <v>89</v>
      </c>
      <c r="D200" s="25" t="str">
        <f t="shared" ref="D200:D232" si="157">IFERROR(VLOOKUP(C200,Todos,2,FALSE),"")</f>
        <v></v>
      </c>
      <c r="E200" s="42" t="s">
        <v>310</v>
      </c>
      <c r="F200" s="43">
        <v>0</v>
      </c>
      <c r="G200" s="28">
        <f t="shared" si="145"/>
        <v>45201.562500000073</v>
      </c>
      <c r="H200" s="28">
        <f t="shared" si="141"/>
        <v>45201.562500000073</v>
      </c>
      <c r="I200" s="29" t="s">
        <v>88</v>
      </c>
      <c r="J200" s="30"/>
      <c r="K200" s="31" t="s">
        <v>27</v>
      </c>
      <c r="L200" s="32">
        <v>1</v>
      </c>
      <c r="M200" s="31" t="s">
        <v>205</v>
      </c>
      <c r="N200" s="33">
        <v>0</v>
      </c>
      <c r="O200" s="51" cm="1">
        <f t="array" aca="1" ref="O200" ca="1">IF(K200="SI",IF(N200&lt;&gt;0,(INDIRECT(M200)*N200)/L200,0),0)</f>
        <v>0</v>
      </c>
      <c r="P200" s="51" cm="1">
        <f t="array" aca="1" ref="P200" ca="1">IF(N200&lt;&gt;0,(INDIRECT(M200)*N200)/L200,0)</f>
        <v>0</v>
      </c>
      <c r="Q200" s="38">
        <v>3</v>
      </c>
      <c r="R200" s="8"/>
      <c r="S200" s="8"/>
      <c r="T200" s="8"/>
    </row>
    <row r="201" spans="1:20" s="56" customFormat="1" hidden="1" outlineLevel="4">
      <c r="A201" s="43">
        <v>0</v>
      </c>
      <c r="B201" s="41" t="s">
        <v>62</v>
      </c>
      <c r="C201" s="41" t="s">
        <v>89</v>
      </c>
      <c r="D201" s="25" t="str">
        <f t="shared" ref="D201:D233" si="158">IFERROR(VLOOKUP(C201,Todos,2,FALSE),"")</f>
        <v></v>
      </c>
      <c r="E201" s="42" t="s">
        <v>311</v>
      </c>
      <c r="F201" s="43">
        <v>0</v>
      </c>
      <c r="G201" s="28">
        <f t="shared" si="145"/>
        <v>45201.562500000073</v>
      </c>
      <c r="H201" s="28">
        <f t="shared" si="141"/>
        <v>45201.562500000073</v>
      </c>
      <c r="I201" s="29" t="s">
        <v>88</v>
      </c>
      <c r="J201" s="30"/>
      <c r="K201" s="31" t="s">
        <v>27</v>
      </c>
      <c r="L201" s="32">
        <v>1</v>
      </c>
      <c r="M201" s="31" t="s">
        <v>205</v>
      </c>
      <c r="N201" s="33">
        <v>0</v>
      </c>
      <c r="O201" s="51" cm="1">
        <f t="array" aca="1" ref="O201" ca="1">IF(K201="SI",IF(N201&lt;&gt;0,(INDIRECT(M201)*N201)/L201,0),0)</f>
        <v>0</v>
      </c>
      <c r="P201" s="51" cm="1">
        <f t="array" aca="1" ref="P201" ca="1">IF(N201&lt;&gt;0,(INDIRECT(M201)*N201)/L201,0)</f>
        <v>0</v>
      </c>
      <c r="Q201" s="38">
        <v>3</v>
      </c>
      <c r="R201" s="8"/>
      <c r="S201" s="8"/>
      <c r="T201" s="8"/>
    </row>
    <row r="202" spans="1:20" s="56" customFormat="1" hidden="1" outlineLevel="4">
      <c r="A202" s="43">
        <v>0</v>
      </c>
      <c r="B202" s="41" t="s">
        <v>62</v>
      </c>
      <c r="C202" s="41" t="s">
        <v>89</v>
      </c>
      <c r="D202" s="25" t="str">
        <f t="shared" ref="D202:D234" si="159">IFERROR(VLOOKUP(C202,Todos,2,FALSE),"")</f>
        <v></v>
      </c>
      <c r="E202" s="42" t="s">
        <v>312</v>
      </c>
      <c r="F202" s="43">
        <v>0</v>
      </c>
      <c r="G202" s="28">
        <f t="shared" si="145"/>
        <v>45201.562500000073</v>
      </c>
      <c r="H202" s="28">
        <f t="shared" si="141"/>
        <v>45201.562500000073</v>
      </c>
      <c r="I202" s="29" t="s">
        <v>88</v>
      </c>
      <c r="J202" s="30"/>
      <c r="K202" s="31" t="s">
        <v>27</v>
      </c>
      <c r="L202" s="32">
        <v>1</v>
      </c>
      <c r="M202" s="31" t="s">
        <v>205</v>
      </c>
      <c r="N202" s="33">
        <v>0</v>
      </c>
      <c r="O202" s="51" cm="1">
        <f t="array" aca="1" ref="O202" ca="1">IF(K202="SI",IF(N202&lt;&gt;0,(INDIRECT(M202)*N202)/L202,0),0)</f>
        <v>0</v>
      </c>
      <c r="P202" s="51" cm="1">
        <f t="array" aca="1" ref="P202" ca="1">IF(N202&lt;&gt;0,(INDIRECT(M202)*N202)/L202,0)</f>
        <v>0</v>
      </c>
      <c r="Q202" s="38">
        <v>3</v>
      </c>
      <c r="R202" s="8"/>
      <c r="S202" s="8"/>
      <c r="T202" s="8"/>
    </row>
    <row r="203" spans="1:20" s="56" customFormat="1" hidden="1" outlineLevel="4">
      <c r="A203" s="43">
        <v>0</v>
      </c>
      <c r="B203" s="41" t="s">
        <v>38</v>
      </c>
      <c r="C203" s="41" t="s">
        <v>60</v>
      </c>
      <c r="D203" s="25" t="str">
        <f t="shared" ref="D203:D235" si="160">IFERROR(VLOOKUP(C203,Todos,2,FALSE),"")</f>
        <v></v>
      </c>
      <c r="E203" s="42" t="s">
        <v>313</v>
      </c>
      <c r="F203" s="43">
        <v>10</v>
      </c>
      <c r="G203" s="28">
        <f t="shared" si="145"/>
        <v>45201.562500000073</v>
      </c>
      <c r="H203" s="28">
        <f t="shared" si="141"/>
        <v>45201.569444444518</v>
      </c>
      <c r="I203" s="29"/>
      <c r="J203" s="30">
        <v>0.5</v>
      </c>
      <c r="K203" s="31"/>
      <c r="L203" s="32"/>
      <c r="M203" s="31"/>
      <c r="N203" s="33"/>
      <c r="O203" s="51" cm="1">
        <f t="array" aca="1" ref="O203" ca="1">IF(K203="SI",IF(N203&lt;&gt;0,(INDIRECT(M203)*N203)/L203,0),0)</f>
        <v>0</v>
      </c>
      <c r="P203" s="51" cm="1">
        <f t="array" aca="1" ref="P203" ca="1">IF(N203&lt;&gt;0,(INDIRECT(M203)*N203)/L203,0)</f>
        <v>0</v>
      </c>
      <c r="Q203" s="38">
        <v>3</v>
      </c>
      <c r="R203" s="8"/>
      <c r="S203" s="8"/>
      <c r="T203" s="8"/>
    </row>
    <row r="204" spans="1:20" s="56" customFormat="1" hidden="1" outlineLevel="4">
      <c r="A204" s="43">
        <v>0</v>
      </c>
      <c r="B204" s="41" t="s">
        <v>71</v>
      </c>
      <c r="C204" s="41" t="s">
        <v>95</v>
      </c>
      <c r="D204" s="25" t="str">
        <f t="shared" ref="D204:D236" si="161">IFERROR(VLOOKUP(C204,Todos,2,FALSE),"")</f>
        <v></v>
      </c>
      <c r="E204" s="42" t="s">
        <v>314</v>
      </c>
      <c r="F204" s="43">
        <v>60</v>
      </c>
      <c r="G204" s="28">
        <f t="shared" si="145"/>
        <v>45201.569444444518</v>
      </c>
      <c r="H204" s="28">
        <f t="shared" si="141"/>
        <v>45201.611111111182</v>
      </c>
      <c r="I204" s="29" t="s">
        <v>315</v>
      </c>
      <c r="J204" s="30"/>
      <c r="K204" s="31" t="s">
        <v>58</v>
      </c>
      <c r="L204" s="32">
        <v>1</v>
      </c>
      <c r="M204" s="31" t="s">
        <v>205</v>
      </c>
      <c r="N204" s="33">
        <v>20</v>
      </c>
      <c r="O204" s="51" cm="1">
        <f t="array" aca="1" ref="O204" ca="1">IF(K204="SI",IF(N204&lt;&gt;0,(INDIRECT(M204)*N204)/L204,0),0)</f>
        <v>0</v>
      </c>
      <c r="P204" s="51" t="e" cm="1">
        <f t="array" aca="1" ref="P204" ca="1">IF(N204&lt;&gt;0,(INDIRECT(M204)*N204)/L204,0)</f>
        <v>#REF!</v>
      </c>
      <c r="Q204" s="38">
        <v>3</v>
      </c>
      <c r="R204" s="8"/>
      <c r="S204" s="8"/>
      <c r="T204" s="8"/>
    </row>
    <row r="205" spans="1:20" s="56" customFormat="1" hidden="1" outlineLevel="4">
      <c r="A205" s="43">
        <v>0</v>
      </c>
      <c r="B205" s="41" t="s">
        <v>24</v>
      </c>
      <c r="C205" s="41" t="s">
        <v>68</v>
      </c>
      <c r="D205" s="25" t="str">
        <f>IFERROR(VLOOKUP(C205,Todos,2,FALSE),"")</f>
        <v></v>
      </c>
      <c r="E205" s="42" t="s">
        <v>69</v>
      </c>
      <c r="F205" s="43">
        <v>30</v>
      </c>
      <c r="G205" s="28">
        <f t="shared" si="145"/>
        <v>45201.611111111182</v>
      </c>
      <c r="H205" s="28">
        <f t="shared" si="141"/>
        <v>45201.631944444518</v>
      </c>
      <c r="I205" s="29" t="s">
        <v>316</v>
      </c>
      <c r="J205" s="30"/>
      <c r="K205" s="31" t="s">
        <v>58</v>
      </c>
      <c r="L205" s="32">
        <v>1</v>
      </c>
      <c r="M205" s="31" t="s">
        <v>205</v>
      </c>
      <c r="N205" s="33">
        <v>20</v>
      </c>
      <c r="O205" s="51" cm="1">
        <f t="array" aca="1" ref="O205" ca="1">IF(K205="SI",IF(N205&lt;&gt;0,(INDIRECT(M205)*N205)/L205,0),0)</f>
        <v>0</v>
      </c>
      <c r="P205" s="51" t="e" cm="1">
        <f t="array" aca="1" ref="P205" ca="1">IF(N205&lt;&gt;0,(INDIRECT(M205)*N205)/L205,0)</f>
        <v>#REF!</v>
      </c>
      <c r="Q205" s="38">
        <v>3</v>
      </c>
      <c r="R205" s="8"/>
      <c r="S205" s="8"/>
      <c r="T205" s="8"/>
    </row>
    <row r="206" spans="1:20" s="56" customFormat="1" hidden="1" outlineLevel="4">
      <c r="A206" s="43">
        <v>0</v>
      </c>
      <c r="B206" s="41" t="s">
        <v>24</v>
      </c>
      <c r="C206" s="41" t="s">
        <v>317</v>
      </c>
      <c r="D206" s="25" t="str">
        <f>IFERROR(VLOOKUP(C206,Todos,2,FALSE),"")</f>
        <v></v>
      </c>
      <c r="E206" s="42" t="s">
        <v>318</v>
      </c>
      <c r="F206" s="43">
        <v>80</v>
      </c>
      <c r="G206" s="28">
        <f t="shared" si="145"/>
        <v>45201.631944444518</v>
      </c>
      <c r="H206" s="28">
        <f t="shared" si="141"/>
        <v>45201.687500000073</v>
      </c>
      <c r="I206" s="29" t="s">
        <v>319</v>
      </c>
      <c r="J206" s="30"/>
      <c r="K206" s="31" t="s">
        <v>58</v>
      </c>
      <c r="L206" s="32">
        <v>1</v>
      </c>
      <c r="M206" s="31" t="s">
        <v>205</v>
      </c>
      <c r="N206" s="33">
        <v>8</v>
      </c>
      <c r="O206" s="51" cm="1">
        <f t="array" aca="1" ref="O206" ca="1">IF(K206="SI",IF(N206&lt;&gt;0,(INDIRECT(M206)*N206)/L206,0),0)</f>
        <v>0</v>
      </c>
      <c r="P206" s="51" t="e" cm="1">
        <f t="array" aca="1" ref="P206" ca="1">IF(N206&lt;&gt;0,(INDIRECT(M206)*N206)/L206,0)</f>
        <v>#REF!</v>
      </c>
      <c r="Q206" s="38">
        <v>3</v>
      </c>
      <c r="R206" s="8"/>
      <c r="S206" s="8"/>
      <c r="T206" s="8"/>
    </row>
    <row r="207" spans="1:20" s="56" customFormat="1" hidden="1" outlineLevel="4">
      <c r="A207" s="43">
        <v>0</v>
      </c>
      <c r="B207" s="41" t="s">
        <v>24</v>
      </c>
      <c r="C207" s="41" t="s">
        <v>37</v>
      </c>
      <c r="D207" s="25" t="str">
        <f t="shared" ref="D207:D453" si="162">IFERROR(VLOOKUP(C207,Todos,2,FALSE),"")</f>
        <v></v>
      </c>
      <c r="E207" s="42" t="s">
        <v>37</v>
      </c>
      <c r="F207" s="43">
        <v>60</v>
      </c>
      <c r="G207" s="28">
        <f t="shared" si="145"/>
        <v>45201.687500000073</v>
      </c>
      <c r="H207" s="28">
        <f t="shared" si="141"/>
        <v>45201.729166666737</v>
      </c>
      <c r="I207" s="29"/>
      <c r="J207" s="30"/>
      <c r="K207" s="31"/>
      <c r="L207" s="32"/>
      <c r="M207" s="31"/>
      <c r="N207" s="33"/>
      <c r="O207" s="51" cm="1">
        <f t="array" aca="1" ref="O207" ca="1">IF(K207="SI",IF(N207&lt;&gt;0,(INDIRECT(M207)*N207)/L207,0),0)</f>
        <v>0</v>
      </c>
      <c r="P207" s="51" cm="1">
        <f t="array" aca="1" ref="P207" ca="1">IF(N207&lt;&gt;0,(INDIRECT(M207)*N207)/L207,0)</f>
        <v>0</v>
      </c>
      <c r="Q207" s="38">
        <v>3</v>
      </c>
      <c r="R207" s="8"/>
      <c r="S207" s="8"/>
      <c r="T207" s="8"/>
    </row>
    <row r="208" spans="1:20" s="56" customFormat="1" hidden="1" outlineLevel="4">
      <c r="A208" s="43">
        <v>0</v>
      </c>
      <c r="B208" s="41" t="s">
        <v>38</v>
      </c>
      <c r="C208" s="41" t="s">
        <v>60</v>
      </c>
      <c r="D208" s="25" t="str">
        <f>IFERROR(VLOOKUP(C208,Todos,2,FALSE),"")</f>
        <v></v>
      </c>
      <c r="E208" s="42" t="s">
        <v>320</v>
      </c>
      <c r="F208" s="43">
        <v>30</v>
      </c>
      <c r="G208" s="28">
        <f t="shared" si="145"/>
        <v>45201.729166666737</v>
      </c>
      <c r="H208" s="28">
        <f t="shared" si="141"/>
        <v>45201.750000000073</v>
      </c>
      <c r="I208" s="29"/>
      <c r="J208" s="30">
        <v>1.6</v>
      </c>
      <c r="K208" s="31"/>
      <c r="L208" s="32"/>
      <c r="M208" s="31"/>
      <c r="N208" s="33"/>
      <c r="O208" s="51" cm="1">
        <f t="array" aca="1" ref="O208" ca="1">IF(K208="SI",IF(N208&lt;&gt;0,(INDIRECT(M208)*N208)/L208,0),0)</f>
        <v>0</v>
      </c>
      <c r="P208" s="51" cm="1">
        <f t="array" aca="1" ref="P208" ca="1">IF(N208&lt;&gt;0,(INDIRECT(M208)*N208)/L208,0)</f>
        <v>0</v>
      </c>
      <c r="Q208" s="38">
        <v>3</v>
      </c>
      <c r="R208" s="8"/>
      <c r="S208" s="8"/>
      <c r="T208" s="8"/>
    </row>
    <row r="209" spans="1:20" s="56" customFormat="1" hidden="1" outlineLevel="4">
      <c r="A209" s="43">
        <v>0</v>
      </c>
      <c r="B209" s="41" t="s">
        <v>62</v>
      </c>
      <c r="C209" s="41" t="s">
        <v>89</v>
      </c>
      <c r="D209" s="25" t="str">
        <f>IFERROR(VLOOKUP(C209,Todos,2,FALSE),"")</f>
        <v></v>
      </c>
      <c r="E209" s="42" t="s">
        <v>321</v>
      </c>
      <c r="F209" s="43">
        <v>60</v>
      </c>
      <c r="G209" s="28">
        <f t="shared" si="145"/>
        <v>45201.750000000073</v>
      </c>
      <c r="H209" s="28">
        <f t="shared" si="141"/>
        <v>45201.791666666737</v>
      </c>
      <c r="I209" s="29" t="s">
        <v>322</v>
      </c>
      <c r="J209" s="30"/>
      <c r="K209" s="31" t="s">
        <v>27</v>
      </c>
      <c r="L209" s="32">
        <v>1</v>
      </c>
      <c r="M209" s="31" t="s">
        <v>205</v>
      </c>
      <c r="N209" s="33">
        <v>0</v>
      </c>
      <c r="O209" s="51" cm="1">
        <f t="array" aca="1" ref="O209" ca="1">IF(K209="SI",IF(N209&lt;&gt;0,(INDIRECT(M209)*N209)/L209,0),0)</f>
        <v>0</v>
      </c>
      <c r="P209" s="51" cm="1">
        <f t="array" aca="1" ref="P209" ca="1">IF(N209&lt;&gt;0,(INDIRECT(M209)*N209)/L209,0)</f>
        <v>0</v>
      </c>
      <c r="Q209" s="38">
        <v>3</v>
      </c>
      <c r="R209" s="8"/>
      <c r="S209" s="8"/>
      <c r="T209" s="8"/>
    </row>
    <row r="210" spans="1:20" s="56" customFormat="1" hidden="1" outlineLevel="4">
      <c r="A210" s="43">
        <v>0</v>
      </c>
      <c r="B210" s="41" t="s">
        <v>38</v>
      </c>
      <c r="C210" s="41" t="s">
        <v>60</v>
      </c>
      <c r="D210" s="25" t="str">
        <f>IFERROR(VLOOKUP(C210,Todos,2,FALSE),"")</f>
        <v></v>
      </c>
      <c r="E210" s="42" t="s">
        <v>323</v>
      </c>
      <c r="F210" s="43">
        <v>20</v>
      </c>
      <c r="G210" s="28">
        <f t="shared" si="145"/>
        <v>45201.791666666737</v>
      </c>
      <c r="H210" s="28">
        <f t="shared" si="141"/>
        <v>45201.805555555628</v>
      </c>
      <c r="I210" s="29"/>
      <c r="J210" s="30">
        <v>1.6</v>
      </c>
      <c r="K210" s="31"/>
      <c r="L210" s="32"/>
      <c r="M210" s="31"/>
      <c r="N210" s="33"/>
      <c r="O210" s="51" cm="1">
        <f t="array" aca="1" ref="O210" ca="1">IF(K210="SI",IF(N210&lt;&gt;0,(INDIRECT(M210)*N210)/L210,0),0)</f>
        <v>0</v>
      </c>
      <c r="P210" s="51" cm="1">
        <f t="array" aca="1" ref="P210" ca="1">IF(N210&lt;&gt;0,(INDIRECT(M210)*N210)/L210,0)</f>
        <v>0</v>
      </c>
      <c r="Q210" s="38">
        <v>3</v>
      </c>
      <c r="R210" s="8"/>
      <c r="S210" s="8"/>
      <c r="T210" s="8"/>
    </row>
    <row r="211" spans="1:20" s="56" customFormat="1" hidden="1" outlineLevel="4">
      <c r="A211" s="43">
        <v>0</v>
      </c>
      <c r="B211" s="41" t="s">
        <v>24</v>
      </c>
      <c r="C211" s="41" t="s">
        <v>324</v>
      </c>
      <c r="D211" s="25" t="str">
        <f>IFERROR(VLOOKUP(C211,Todos,2,FALSE),"")</f>
        <v></v>
      </c>
      <c r="E211" s="42" t="s">
        <v>325</v>
      </c>
      <c r="F211" s="43">
        <v>0</v>
      </c>
      <c r="G211" s="28">
        <f t="shared" si="145"/>
        <v>45201.805555555628</v>
      </c>
      <c r="H211" s="28">
        <f t="shared" si="141"/>
        <v>45201.805555555628</v>
      </c>
      <c r="I211" s="29" t="s">
        <v>326</v>
      </c>
      <c r="J211" s="30"/>
      <c r="K211" s="31" t="s">
        <v>27</v>
      </c>
      <c r="L211" s="32">
        <v>3</v>
      </c>
      <c r="M211" s="31" t="s">
        <v>28</v>
      </c>
      <c r="N211" s="33">
        <v>202121</v>
      </c>
      <c r="O211" s="51" t="e" cm="1">
        <f t="array" aca="1" ref="O211" ca="1">IF(K211="SI",IF(N211&lt;&gt;0,(INDIRECT(M211)*N211)/L211,0),0)</f>
        <v>#REF!</v>
      </c>
      <c r="P211" s="51" t="e" cm="1">
        <f t="array" aca="1" ref="P211" ca="1">IF(N211&lt;&gt;0,(INDIRECT(M211)*N211)/L211,0)</f>
        <v>#REF!</v>
      </c>
      <c r="Q211" s="38">
        <v>3</v>
      </c>
      <c r="R211" s="8"/>
      <c r="S211" s="8"/>
      <c r="T211" s="8"/>
    </row>
    <row r="212" spans="1:20" s="56" customFormat="1" hidden="1" outlineLevel="4">
      <c r="A212" s="43">
        <v>0</v>
      </c>
      <c r="B212" s="41" t="s">
        <v>71</v>
      </c>
      <c r="C212" s="41" t="s">
        <v>72</v>
      </c>
      <c r="D212" s="25" t="str">
        <f>IFERROR(VLOOKUP(C212,Todos,2,FALSE),"")</f>
        <v></v>
      </c>
      <c r="E212" s="42" t="s">
        <v>327</v>
      </c>
      <c r="F212" s="43">
        <v>130</v>
      </c>
      <c r="G212" s="28">
        <f t="shared" si="145"/>
        <v>45201.805555555628</v>
      </c>
      <c r="H212" s="28">
        <f t="shared" si="141"/>
        <v>45201.895833333409</v>
      </c>
      <c r="I212" s="29" t="s">
        <v>328</v>
      </c>
      <c r="J212" s="30"/>
      <c r="K212" s="31" t="s">
        <v>58</v>
      </c>
      <c r="L212" s="32">
        <v>1</v>
      </c>
      <c r="M212" s="31" t="s">
        <v>205</v>
      </c>
      <c r="N212" s="33">
        <v>35</v>
      </c>
      <c r="O212" s="51" cm="1">
        <f t="array" aca="1" ref="O212" ca="1">IF(K212="SI",IF(N212&lt;&gt;0,(INDIRECT(M212)*N212)/L212,0),0)</f>
        <v>0</v>
      </c>
      <c r="P212" s="51" t="e" cm="1">
        <f t="array" aca="1" ref="P212" ca="1">IF(N212&lt;&gt;0,(INDIRECT(M212)*N212)/L212,0)</f>
        <v>#REF!</v>
      </c>
      <c r="Q212" s="38">
        <v>3</v>
      </c>
      <c r="R212" s="8"/>
      <c r="S212" s="8"/>
      <c r="T212" s="8"/>
    </row>
    <row r="213" spans="1:20" s="56" customFormat="1" hidden="1" outlineLevel="4">
      <c r="A213" s="43">
        <v>0</v>
      </c>
      <c r="B213" s="41" t="s">
        <v>38</v>
      </c>
      <c r="C213" s="41" t="s">
        <v>60</v>
      </c>
      <c r="D213" s="25" t="str">
        <f t="shared" ref="D213:D459" si="163">IFERROR(VLOOKUP(C213,Todos,2,FALSE),"")</f>
        <v></v>
      </c>
      <c r="E213" s="42" t="s">
        <v>329</v>
      </c>
      <c r="F213" s="43">
        <v>20</v>
      </c>
      <c r="G213" s="28">
        <f t="shared" si="145"/>
        <v>45201.895833333409</v>
      </c>
      <c r="H213" s="28">
        <f t="shared" si="141"/>
        <v>45201.909722222299</v>
      </c>
      <c r="I213" s="29"/>
      <c r="J213" s="30">
        <v>1</v>
      </c>
      <c r="K213" s="31"/>
      <c r="L213" s="32"/>
      <c r="M213" s="31"/>
      <c r="N213" s="33"/>
      <c r="O213" s="51" cm="1">
        <f t="array" aca="1" ref="O213" ca="1">IF(K213="SI",IF(N213&lt;&gt;0,(INDIRECT(M213)*N213)/L213,0),0)</f>
        <v>0</v>
      </c>
      <c r="P213" s="51" cm="1">
        <f t="array" aca="1" ref="P213" ca="1">IF(N213&lt;&gt;0,(INDIRECT(M213)*N213)/L213,0)</f>
        <v>0</v>
      </c>
      <c r="Q213" s="38">
        <v>3</v>
      </c>
      <c r="R213" s="8"/>
      <c r="S213" s="8"/>
      <c r="T213" s="8"/>
    </row>
    <row r="214" spans="1:20" s="56" customFormat="1" hidden="1" outlineLevel="4">
      <c r="A214" s="43">
        <v>0</v>
      </c>
      <c r="B214" s="41" t="s">
        <v>24</v>
      </c>
      <c r="C214" s="41" t="s">
        <v>37</v>
      </c>
      <c r="D214" s="25" t="str">
        <f t="shared" ref="D214:D460" si="164">IFERROR(VLOOKUP(C214,Todos,2,FALSE),"")</f>
        <v></v>
      </c>
      <c r="E214" s="42" t="s">
        <v>37</v>
      </c>
      <c r="F214" s="43">
        <v>130</v>
      </c>
      <c r="G214" s="28">
        <f t="shared" si="145"/>
        <v>45201.909722222299</v>
      </c>
      <c r="H214" s="28">
        <f t="shared" si="141"/>
        <v>45202.00000000008</v>
      </c>
      <c r="I214" s="29"/>
      <c r="J214" s="30"/>
      <c r="K214" s="31"/>
      <c r="L214" s="32"/>
      <c r="M214" s="31"/>
      <c r="N214" s="33"/>
      <c r="O214" s="51" cm="1">
        <f t="array" aca="1" ref="O214" ca="1">IF(K214="SI",IF(N214&lt;&gt;0,(INDIRECT(M214)*N214)/L214,0),0)</f>
        <v>0</v>
      </c>
      <c r="P214" s="51" cm="1">
        <f t="array" aca="1" ref="P214" ca="1">IF(N214&lt;&gt;0,(INDIRECT(M214)*N214)/L214,0)</f>
        <v>0</v>
      </c>
      <c r="Q214" s="38">
        <v>3</v>
      </c>
      <c r="R214" s="8"/>
      <c r="S214" s="8"/>
      <c r="T214" s="8"/>
    </row>
    <row r="215" spans="1:20" s="56" customFormat="1" hidden="1" outlineLevel="3">
      <c r="A215" s="43">
        <v>0</v>
      </c>
      <c r="B215" s="41" t="s">
        <v>15</v>
      </c>
      <c r="C215" s="41" t="s">
        <v>22</v>
      </c>
      <c r="D215" s="25" t="str">
        <f t="shared" ref="D215:D461" si="165">IFERROR(VLOOKUP(C215,Todos,2,FALSE),"")</f>
        <v></v>
      </c>
      <c r="E215" s="55" t="s">
        <v>330</v>
      </c>
      <c r="F215" s="43">
        <f>SUM(F216:F229)</f>
        <v>1440</v>
      </c>
      <c r="G215" s="28">
        <f>H214</f>
        <v>45202.00000000008</v>
      </c>
      <c r="H215" s="28">
        <f>G215+(F215/24)/60</f>
        <v>45203.00000000008</v>
      </c>
      <c r="I215" s="29" t="str">
        <f>PROPER(TEXT(G215,"dddd"))</f>
        <v>Martes</v>
      </c>
      <c r="J215" s="30">
        <f>SUM(J216:J229)</f>
        <v>8</v>
      </c>
      <c r="K215" s="31"/>
      <c r="L215" s="32"/>
      <c r="M215" s="31"/>
      <c r="N215" s="48"/>
      <c r="O215" s="49" t="e">
        <f ca="1">SUM(O216:O229)</f>
        <v>#REF!</v>
      </c>
      <c r="P215" s="49" t="e">
        <f ca="1">SUM(P216:P229)</f>
        <v>#REF!</v>
      </c>
      <c r="Q215" s="38">
        <f>AVERAGE(Q216:Q229)</f>
        <v>3</v>
      </c>
      <c r="R215" s="8"/>
      <c r="S215" s="8"/>
      <c r="T215" s="8"/>
    </row>
    <row r="216" spans="1:20" s="56" customFormat="1" hidden="1" outlineLevel="4">
      <c r="A216" s="43">
        <v>0</v>
      </c>
      <c r="B216" s="41" t="s">
        <v>24</v>
      </c>
      <c r="C216" s="41" t="s">
        <v>37</v>
      </c>
      <c r="D216" s="25" t="str">
        <f t="shared" si="165"/>
        <v></v>
      </c>
      <c r="E216" s="42" t="s">
        <v>37</v>
      </c>
      <c r="F216" s="43">
        <v>410</v>
      </c>
      <c r="G216" s="28">
        <f>H214</f>
        <v>45202.00000000008</v>
      </c>
      <c r="H216" s="28">
        <f>G216+(F216/24)/60</f>
        <v>45202.284722222299</v>
      </c>
      <c r="I216" s="29"/>
      <c r="J216" s="30"/>
      <c r="K216" s="31"/>
      <c r="L216" s="32"/>
      <c r="M216" s="31"/>
      <c r="N216" s="33"/>
      <c r="O216" s="51" cm="1">
        <f t="array" aca="1" ref="O216" ca="1">IF(K216="SI",IF(N216&lt;&gt;0,(INDIRECT(M216)*N216)/L216,0),0)</f>
        <v>0</v>
      </c>
      <c r="P216" s="51" cm="1">
        <f t="array" aca="1" ref="P216" ca="1">IF(N216&lt;&gt;0,(INDIRECT(M216)*N216)/L216,0)</f>
        <v>0</v>
      </c>
      <c r="Q216" s="38">
        <v>3</v>
      </c>
      <c r="R216" s="8"/>
      <c r="S216" s="8"/>
      <c r="T216" s="8"/>
    </row>
    <row r="217" spans="1:20" s="56" customFormat="1" hidden="1" outlineLevel="4">
      <c r="A217" s="43">
        <v>0</v>
      </c>
      <c r="B217" s="41" t="s">
        <v>71</v>
      </c>
      <c r="C217" s="41" t="s">
        <v>75</v>
      </c>
      <c r="D217" s="25" t="str">
        <f t="shared" ref="D217:D463" si="166">IFERROR(VLOOKUP(C217,Todos,2,FALSE),"")</f>
        <v></v>
      </c>
      <c r="E217" s="42" t="s">
        <v>75</v>
      </c>
      <c r="F217" s="43">
        <v>60</v>
      </c>
      <c r="G217" s="28">
        <f>H216</f>
        <v>45202.284722222299</v>
      </c>
      <c r="H217" s="28">
        <f t="shared" ref="H217:H229" si="167">G217+(F217/24)/60</f>
        <v>45202.326388888963</v>
      </c>
      <c r="I217" s="29" t="s">
        <v>76</v>
      </c>
      <c r="J217" s="30"/>
      <c r="K217" s="31" t="s">
        <v>27</v>
      </c>
      <c r="L217" s="32">
        <v>1</v>
      </c>
      <c r="M217" s="31" t="s">
        <v>205</v>
      </c>
      <c r="N217" s="33">
        <v>0</v>
      </c>
      <c r="O217" s="51" cm="1">
        <f t="array" aca="1" ref="O217" ca="1">IF(K217="SI",IF(N217&lt;&gt;0,(INDIRECT(M217)*N217)/L217,0),0)</f>
        <v>0</v>
      </c>
      <c r="P217" s="51" cm="1">
        <f t="array" aca="1" ref="P217" ca="1">IF(N217&lt;&gt;0,(INDIRECT(M217)*N217)/L217,0)</f>
        <v>0</v>
      </c>
      <c r="Q217" s="38">
        <v>3</v>
      </c>
      <c r="R217" s="8"/>
      <c r="S217" s="8"/>
      <c r="T217" s="8"/>
    </row>
    <row r="218" spans="1:20" s="56" customFormat="1" ht="42" hidden="1" outlineLevel="4">
      <c r="A218" s="43">
        <v>0</v>
      </c>
      <c r="B218" s="41" t="s">
        <v>24</v>
      </c>
      <c r="C218" s="41" t="s">
        <v>83</v>
      </c>
      <c r="D218" s="25" t="str">
        <f>IFERROR(VLOOKUP(C218,Todos,2,FALSE),"")</f>
        <v></v>
      </c>
      <c r="E218" s="42" t="s">
        <v>331</v>
      </c>
      <c r="F218" s="43">
        <v>0</v>
      </c>
      <c r="G218" s="28">
        <f t="shared" ref="G218:G229" si="168">H217</f>
        <v>45202.326388888963</v>
      </c>
      <c r="H218" s="28">
        <f t="shared" si="167"/>
        <v>45202.326388888963</v>
      </c>
      <c r="I218" s="29" t="s">
        <v>332</v>
      </c>
      <c r="J218" s="30"/>
      <c r="K218" s="31" t="s">
        <v>27</v>
      </c>
      <c r="L218" s="32">
        <v>3</v>
      </c>
      <c r="M218" s="31" t="s">
        <v>28</v>
      </c>
      <c r="N218" s="33">
        <v>1281017</v>
      </c>
      <c r="O218" s="51" t="e" cm="1">
        <f t="array" aca="1" ref="O218" ca="1">IF(K218="SI",IF(N218&lt;&gt;0,(INDIRECT(M218)*N218)/L218,0),0)</f>
        <v>#REF!</v>
      </c>
      <c r="P218" s="51" t="e" cm="1">
        <f t="array" aca="1" ref="P218" ca="1">IF(N218&lt;&gt;0,(INDIRECT(M218)*N218)/L218,0)</f>
        <v>#REF!</v>
      </c>
      <c r="Q218" s="38">
        <v>3</v>
      </c>
      <c r="R218" s="8"/>
      <c r="S218" s="8"/>
      <c r="T218" s="8"/>
    </row>
    <row r="219" spans="1:20" s="56" customFormat="1" hidden="1" outlineLevel="4">
      <c r="A219" s="43">
        <v>0</v>
      </c>
      <c r="B219" s="41" t="s">
        <v>38</v>
      </c>
      <c r="C219" s="41" t="s">
        <v>55</v>
      </c>
      <c r="D219" s="25" t="str">
        <f t="shared" ref="D219:D465" si="169">IFERROR(VLOOKUP(C219,Todos,2,FALSE),"")</f>
        <v></v>
      </c>
      <c r="E219" s="42" t="s">
        <v>333</v>
      </c>
      <c r="F219" s="43">
        <v>15</v>
      </c>
      <c r="G219" s="28">
        <f t="shared" si="168"/>
        <v>45202.326388888963</v>
      </c>
      <c r="H219" s="28">
        <f t="shared" si="167"/>
        <v>45202.336805555628</v>
      </c>
      <c r="I219" s="29" t="s">
        <v>334</v>
      </c>
      <c r="J219" s="30">
        <v>1</v>
      </c>
      <c r="K219" s="31" t="s">
        <v>27</v>
      </c>
      <c r="L219" s="32">
        <v>1</v>
      </c>
      <c r="M219" s="31" t="s">
        <v>205</v>
      </c>
      <c r="N219" s="33">
        <v>0</v>
      </c>
      <c r="O219" s="51" cm="1">
        <f t="array" aca="1" ref="O219" ca="1">IF(K219="SI",IF(N219&lt;&gt;0,(INDIRECT(M219)*N219)/L219,0),0)</f>
        <v>0</v>
      </c>
      <c r="P219" s="51" cm="1">
        <f t="array" aca="1" ref="P219" ca="1">IF(N219&lt;&gt;0,(INDIRECT(M219)*N219)/L219,0)</f>
        <v>0</v>
      </c>
      <c r="Q219" s="38">
        <v>3</v>
      </c>
      <c r="R219" s="8"/>
      <c r="S219" s="8"/>
      <c r="T219" s="8"/>
    </row>
    <row r="220" spans="1:20" s="56" customFormat="1" hidden="1" outlineLevel="4">
      <c r="A220" s="43">
        <v>0</v>
      </c>
      <c r="B220" s="41" t="s">
        <v>24</v>
      </c>
      <c r="C220" s="41" t="s">
        <v>191</v>
      </c>
      <c r="D220" s="25" t="str">
        <f t="shared" ref="D220:D466" si="170">IFERROR(VLOOKUP(C220,Todos,2,FALSE),"")</f>
        <v></v>
      </c>
      <c r="E220" s="42" t="s">
        <v>191</v>
      </c>
      <c r="F220" s="43">
        <v>23</v>
      </c>
      <c r="G220" s="28">
        <f t="shared" si="168"/>
        <v>45202.336805555628</v>
      </c>
      <c r="H220" s="28">
        <f t="shared" si="167"/>
        <v>45202.352777777851</v>
      </c>
      <c r="I220" s="29"/>
      <c r="J220" s="30"/>
      <c r="K220" s="31"/>
      <c r="L220" s="32"/>
      <c r="M220" s="31"/>
      <c r="N220" s="33"/>
      <c r="O220" s="51" cm="1">
        <f t="array" aca="1" ref="O220" ca="1">IF(K220="SI",IF(N220&lt;&gt;0,(INDIRECT(M220)*N220)/L220,0),0)</f>
        <v>0</v>
      </c>
      <c r="P220" s="51" cm="1">
        <f t="array" aca="1" ref="P220" ca="1">IF(N220&lt;&gt;0,(INDIRECT(M220)*N220)/L220,0)</f>
        <v>0</v>
      </c>
      <c r="Q220" s="38">
        <v>3</v>
      </c>
      <c r="R220" s="8"/>
      <c r="S220" s="8"/>
      <c r="T220" s="8"/>
    </row>
    <row r="221" spans="1:20" s="56" customFormat="1" hidden="1" outlineLevel="4">
      <c r="A221" s="43">
        <v>0</v>
      </c>
      <c r="B221" s="41" t="s">
        <v>38</v>
      </c>
      <c r="C221" s="41" t="s">
        <v>335</v>
      </c>
      <c r="D221" s="25" t="str">
        <f t="shared" ref="D221:D467" si="171">IFERROR(VLOOKUP(C221,Todos,2,FALSE),"")</f>
        <v></v>
      </c>
      <c r="E221" s="42" t="s">
        <v>336</v>
      </c>
      <c r="F221" s="43">
        <v>261</v>
      </c>
      <c r="G221" s="28">
        <f t="shared" si="168"/>
        <v>45202.352777777851</v>
      </c>
      <c r="H221" s="28">
        <f t="shared" si="167"/>
        <v>45202.534027777852</v>
      </c>
      <c r="I221" s="29" t="s">
        <v>337</v>
      </c>
      <c r="J221" s="30"/>
      <c r="K221" s="31" t="s">
        <v>27</v>
      </c>
      <c r="L221" s="32">
        <v>1</v>
      </c>
      <c r="M221" s="31" t="s">
        <v>205</v>
      </c>
      <c r="N221" s="33">
        <v>0</v>
      </c>
      <c r="O221" s="51" cm="1">
        <f t="array" aca="1" ref="O221" ca="1">IF(K221="SI",IF(N221&lt;&gt;0,(INDIRECT(M221)*N221)/L221,0),0)</f>
        <v>0</v>
      </c>
      <c r="P221" s="51" cm="1">
        <f t="array" aca="1" ref="P221" ca="1">IF(N221&lt;&gt;0,(INDIRECT(M221)*N221)/L221,0)</f>
        <v>0</v>
      </c>
      <c r="Q221" s="38">
        <v>3</v>
      </c>
      <c r="R221" s="8"/>
      <c r="S221" s="8"/>
      <c r="T221" s="8"/>
    </row>
    <row r="222" spans="1:20" s="56" customFormat="1" hidden="1" outlineLevel="4">
      <c r="A222" s="43">
        <v>0</v>
      </c>
      <c r="B222" s="41" t="s">
        <v>71</v>
      </c>
      <c r="C222" s="41" t="s">
        <v>268</v>
      </c>
      <c r="D222" s="25" t="str">
        <f t="shared" ref="D222:D468" si="172">IFERROR(VLOOKUP(C222,Todos,2,FALSE),"")</f>
        <v></v>
      </c>
      <c r="E222" s="42" t="s">
        <v>338</v>
      </c>
      <c r="F222" s="43">
        <v>26</v>
      </c>
      <c r="G222" s="28">
        <f t="shared" si="168"/>
        <v>45202.534027777852</v>
      </c>
      <c r="H222" s="28">
        <f t="shared" si="167"/>
        <v>45202.552083333409</v>
      </c>
      <c r="I222" s="29" t="s">
        <v>339</v>
      </c>
      <c r="J222" s="30"/>
      <c r="K222" s="31" t="s">
        <v>27</v>
      </c>
      <c r="L222" s="32">
        <v>1</v>
      </c>
      <c r="M222" s="31" t="s">
        <v>205</v>
      </c>
      <c r="N222" s="33">
        <v>0</v>
      </c>
      <c r="O222" s="51" cm="1">
        <f t="array" aca="1" ref="O222" ca="1">IF(K222="SI",IF(N222&lt;&gt;0,(INDIRECT(M222)*N222)/L222,0),0)</f>
        <v>0</v>
      </c>
      <c r="P222" s="51" cm="1">
        <f t="array" aca="1" ref="P222" ca="1">IF(N222&lt;&gt;0,(INDIRECT(M222)*N222)/L222,0)</f>
        <v>0</v>
      </c>
      <c r="Q222" s="38">
        <v>3</v>
      </c>
      <c r="R222" s="8"/>
      <c r="S222" s="8"/>
      <c r="T222" s="8"/>
    </row>
    <row r="223" spans="1:20" s="56" customFormat="1" ht="94.5" hidden="1" outlineLevel="4">
      <c r="A223" s="43">
        <v>0</v>
      </c>
      <c r="B223" s="41" t="s">
        <v>62</v>
      </c>
      <c r="C223" s="41" t="s">
        <v>119</v>
      </c>
      <c r="D223" s="25" t="str">
        <f t="shared" ref="D223:D469" si="173">IFERROR(VLOOKUP(C223,Todos,2,FALSE),"")</f>
        <v></v>
      </c>
      <c r="E223" s="42" t="s">
        <v>340</v>
      </c>
      <c r="F223" s="43">
        <v>240</v>
      </c>
      <c r="G223" s="28">
        <f t="shared" si="168"/>
        <v>45202.552083333409</v>
      </c>
      <c r="H223" s="28">
        <f t="shared" si="167"/>
        <v>45202.718750000073</v>
      </c>
      <c r="I223" s="29" t="s">
        <v>341</v>
      </c>
      <c r="J223" s="30">
        <v>6</v>
      </c>
      <c r="K223" s="31" t="s">
        <v>58</v>
      </c>
      <c r="L223" s="32">
        <v>1</v>
      </c>
      <c r="M223" s="31" t="s">
        <v>205</v>
      </c>
      <c r="N223" s="33">
        <v>9</v>
      </c>
      <c r="O223" s="51" cm="1">
        <f t="array" aca="1" ref="O223" ca="1">IF(K223="SI",IF(N223&lt;&gt;0,(INDIRECT(M223)*N223)/L223,0),0)</f>
        <v>0</v>
      </c>
      <c r="P223" s="51" t="e" cm="1">
        <f t="array" aca="1" ref="P223" ca="1">IF(N223&lt;&gt;0,(INDIRECT(M223)*N223)/L223,0)</f>
        <v>#REF!</v>
      </c>
      <c r="Q223" s="38">
        <v>3</v>
      </c>
      <c r="R223" s="8"/>
      <c r="S223" s="8"/>
      <c r="T223" s="8"/>
    </row>
    <row r="224" spans="1:20" s="56" customFormat="1" hidden="1" outlineLevel="4">
      <c r="A224" s="43">
        <v>0</v>
      </c>
      <c r="B224" s="41" t="s">
        <v>24</v>
      </c>
      <c r="C224" s="41" t="s">
        <v>191</v>
      </c>
      <c r="D224" s="25" t="str">
        <f t="shared" ref="D224:D470" si="174">IFERROR(VLOOKUP(C224,Todos,2,FALSE),"")</f>
        <v></v>
      </c>
      <c r="E224" s="42" t="s">
        <v>191</v>
      </c>
      <c r="F224" s="43">
        <v>20</v>
      </c>
      <c r="G224" s="28">
        <f t="shared" si="168"/>
        <v>45202.718750000073</v>
      </c>
      <c r="H224" s="28">
        <f t="shared" si="167"/>
        <v>45202.732638888963</v>
      </c>
      <c r="I224" s="29"/>
      <c r="J224" s="30"/>
      <c r="K224" s="31"/>
      <c r="L224" s="32"/>
      <c r="M224" s="31"/>
      <c r="N224" s="33"/>
      <c r="O224" s="51" cm="1">
        <f t="array" aca="1" ref="O224" ca="1">IF(K224="SI",IF(N224&lt;&gt;0,(INDIRECT(M224)*N224)/L224,0),0)</f>
        <v>0</v>
      </c>
      <c r="P224" s="51" cm="1">
        <f t="array" aca="1" ref="P224" ca="1">IF(N224&lt;&gt;0,(INDIRECT(M224)*N224)/L224,0)</f>
        <v>0</v>
      </c>
      <c r="Q224" s="38">
        <v>3</v>
      </c>
      <c r="R224" s="8"/>
      <c r="S224" s="8"/>
      <c r="T224" s="8"/>
    </row>
    <row r="225" spans="1:20" s="56" customFormat="1" hidden="1" outlineLevel="4">
      <c r="A225" s="43">
        <v>0</v>
      </c>
      <c r="B225" s="41" t="s">
        <v>38</v>
      </c>
      <c r="C225" s="41" t="s">
        <v>335</v>
      </c>
      <c r="D225" s="25" t="str">
        <f t="shared" ref="D225:D471" si="175">IFERROR(VLOOKUP(C225,Todos,2,FALSE),"")</f>
        <v></v>
      </c>
      <c r="E225" s="42" t="s">
        <v>342</v>
      </c>
      <c r="F225" s="43">
        <v>262</v>
      </c>
      <c r="G225" s="28">
        <f t="shared" si="168"/>
        <v>45202.732638888963</v>
      </c>
      <c r="H225" s="28">
        <f t="shared" si="167"/>
        <v>45202.914583333404</v>
      </c>
      <c r="I225" s="29" t="s">
        <v>337</v>
      </c>
      <c r="J225" s="30"/>
      <c r="K225" s="31" t="s">
        <v>27</v>
      </c>
      <c r="L225" s="32">
        <v>1</v>
      </c>
      <c r="M225" s="31" t="s">
        <v>205</v>
      </c>
      <c r="N225" s="33">
        <v>0</v>
      </c>
      <c r="O225" s="51" cm="1">
        <f t="array" aca="1" ref="O225" ca="1">IF(K225="SI",IF(N225&lt;&gt;0,(INDIRECT(M225)*N225)/L225,0),0)</f>
        <v>0</v>
      </c>
      <c r="P225" s="51" cm="1">
        <f t="array" aca="1" ref="P225" ca="1">IF(N225&lt;&gt;0,(INDIRECT(M225)*N225)/L225,0)</f>
        <v>0</v>
      </c>
      <c r="Q225" s="38">
        <v>3</v>
      </c>
      <c r="R225" s="8"/>
      <c r="S225" s="8"/>
      <c r="T225" s="8"/>
    </row>
    <row r="226" spans="1:20" s="56" customFormat="1" hidden="1" outlineLevel="4">
      <c r="A226" s="43">
        <v>0</v>
      </c>
      <c r="B226" s="41" t="s">
        <v>38</v>
      </c>
      <c r="C226" s="41" t="s">
        <v>55</v>
      </c>
      <c r="D226" s="25" t="str">
        <f t="shared" ref="D226:D472" si="176">IFERROR(VLOOKUP(C226,Todos,2,FALSE),"")</f>
        <v></v>
      </c>
      <c r="E226" s="42" t="s">
        <v>343</v>
      </c>
      <c r="F226" s="43">
        <v>23</v>
      </c>
      <c r="G226" s="28">
        <f t="shared" si="168"/>
        <v>45202.914583333404</v>
      </c>
      <c r="H226" s="28">
        <f t="shared" si="167"/>
        <v>45202.930555555628</v>
      </c>
      <c r="I226" s="29" t="s">
        <v>344</v>
      </c>
      <c r="J226" s="30">
        <v>1</v>
      </c>
      <c r="K226" s="31" t="s">
        <v>27</v>
      </c>
      <c r="L226" s="32">
        <v>1</v>
      </c>
      <c r="M226" s="31" t="s">
        <v>205</v>
      </c>
      <c r="N226" s="33">
        <v>0</v>
      </c>
      <c r="O226" s="51" cm="1">
        <f t="array" aca="1" ref="O226" ca="1">IF(K226="SI",IF(N226&lt;&gt;0,(INDIRECT(M226)*N226)/L226,0),0)</f>
        <v>0</v>
      </c>
      <c r="P226" s="51" cm="1">
        <f t="array" aca="1" ref="P226" ca="1">IF(N226&lt;&gt;0,(INDIRECT(M226)*N226)/L226,0)</f>
        <v>0</v>
      </c>
      <c r="Q226" s="38">
        <v>3</v>
      </c>
      <c r="R226" s="8"/>
      <c r="S226" s="8"/>
      <c r="T226" s="8"/>
    </row>
    <row r="227" spans="1:20" s="56" customFormat="1" hidden="1" outlineLevel="4">
      <c r="A227" s="43">
        <v>0</v>
      </c>
      <c r="B227" s="41" t="s">
        <v>24</v>
      </c>
      <c r="C227" s="41" t="s">
        <v>25</v>
      </c>
      <c r="D227" s="25" t="str">
        <f t="shared" ref="D227:D473" si="177">IFERROR(VLOOKUP(C227,Todos,2,FALSE),"")</f>
        <v></v>
      </c>
      <c r="E227" s="42" t="s">
        <v>345</v>
      </c>
      <c r="F227" s="43">
        <v>0</v>
      </c>
      <c r="G227" s="28">
        <f t="shared" si="168"/>
        <v>45202.930555555628</v>
      </c>
      <c r="H227" s="28">
        <f t="shared" si="167"/>
        <v>45202.930555555628</v>
      </c>
      <c r="I227" s="29" t="s">
        <v>346</v>
      </c>
      <c r="J227" s="30"/>
      <c r="K227" s="31"/>
      <c r="L227" s="32"/>
      <c r="M227" s="31"/>
      <c r="N227" s="33"/>
      <c r="O227" s="51" cm="1">
        <f t="array" aca="1" ref="O227" ca="1">IF(K227="SI",IF(N227&lt;&gt;0,(INDIRECT(M227)*N227)/L227,0),0)</f>
        <v>0</v>
      </c>
      <c r="P227" s="51" cm="1">
        <f t="array" aca="1" ref="P227" ca="1">IF(N227&lt;&gt;0,(INDIRECT(M227)*N227)/L227,0)</f>
        <v>0</v>
      </c>
      <c r="Q227" s="38">
        <v>3</v>
      </c>
      <c r="R227" s="8"/>
      <c r="S227" s="8"/>
      <c r="T227" s="8"/>
    </row>
    <row r="228" spans="1:20" s="56" customFormat="1" hidden="1" outlineLevel="4">
      <c r="A228" s="43">
        <v>1</v>
      </c>
      <c r="B228" s="41" t="s">
        <v>24</v>
      </c>
      <c r="C228" s="41" t="s">
        <v>25</v>
      </c>
      <c r="D228" s="25" t="str">
        <f t="shared" ref="D228:D474" si="178">IFERROR(VLOOKUP(C228,Todos,2,FALSE),"")</f>
        <v></v>
      </c>
      <c r="E228" s="42" t="s">
        <v>347</v>
      </c>
      <c r="F228" s="43">
        <v>0</v>
      </c>
      <c r="G228" s="28">
        <f t="shared" si="168"/>
        <v>45202.930555555628</v>
      </c>
      <c r="H228" s="28">
        <f t="shared" si="167"/>
        <v>45202.930555555628</v>
      </c>
      <c r="I228" s="29" t="s">
        <v>348</v>
      </c>
      <c r="J228" s="30"/>
      <c r="K228" s="31"/>
      <c r="L228" s="32"/>
      <c r="M228" s="31"/>
      <c r="N228" s="33"/>
      <c r="O228" s="51" cm="1">
        <f t="array" aca="1" ref="O228" ca="1">IF(K228="SI",IF(N228&lt;&gt;0,(INDIRECT(M228)*N228)/L228,0),0)</f>
        <v>0</v>
      </c>
      <c r="P228" s="51" cm="1">
        <f t="array" aca="1" ref="P228" ca="1">IF(N228&lt;&gt;0,(INDIRECT(M228)*N228)/L228,0)</f>
        <v>0</v>
      </c>
      <c r="Q228" s="38">
        <v>3</v>
      </c>
      <c r="R228" s="8"/>
      <c r="S228" s="8"/>
      <c r="T228" s="8"/>
    </row>
    <row r="229" spans="1:20" s="56" customFormat="1" hidden="1" outlineLevel="4">
      <c r="A229" s="43">
        <v>0</v>
      </c>
      <c r="B229" s="41" t="s">
        <v>24</v>
      </c>
      <c r="C229" s="41" t="s">
        <v>37</v>
      </c>
      <c r="D229" s="25" t="str">
        <f t="shared" ref="D229:D475" si="179">IFERROR(VLOOKUP(C229,Todos,2,FALSE),"")</f>
        <v></v>
      </c>
      <c r="E229" s="42" t="s">
        <v>37</v>
      </c>
      <c r="F229" s="43">
        <v>100</v>
      </c>
      <c r="G229" s="28">
        <f t="shared" si="168"/>
        <v>45202.930555555628</v>
      </c>
      <c r="H229" s="28">
        <f t="shared" si="167"/>
        <v>45203.000000000073</v>
      </c>
      <c r="I229" s="29"/>
      <c r="J229" s="30"/>
      <c r="K229" s="31"/>
      <c r="L229" s="32"/>
      <c r="M229" s="31"/>
      <c r="N229" s="33"/>
      <c r="O229" s="51" cm="1">
        <f t="array" aca="1" ref="O229" ca="1">IF(K229="SI",IF(N229&lt;&gt;0,(INDIRECT(M229)*N229)/L229,0),0)</f>
        <v>0</v>
      </c>
      <c r="P229" s="51" cm="1">
        <f t="array" aca="1" ref="P229" ca="1">IF(N229&lt;&gt;0,(INDIRECT(M229)*N229)/L229,0)</f>
        <v>0</v>
      </c>
      <c r="Q229" s="38">
        <v>3</v>
      </c>
      <c r="R229" s="8"/>
      <c r="S229" s="8"/>
      <c r="T229" s="8"/>
    </row>
    <row r="230" spans="1:20" s="56" customFormat="1" hidden="1" outlineLevel="3">
      <c r="A230" s="43">
        <v>0</v>
      </c>
      <c r="B230" s="41" t="s">
        <v>15</v>
      </c>
      <c r="C230" s="41" t="s">
        <v>22</v>
      </c>
      <c r="D230" s="25" t="str">
        <f t="shared" ref="D230:D476" si="180">IFERROR(VLOOKUP(C230,Todos,2,FALSE),"")</f>
        <v></v>
      </c>
      <c r="E230" s="55" t="s">
        <v>349</v>
      </c>
      <c r="F230" s="43">
        <f>SUM(F231:F247)</f>
        <v>1435</v>
      </c>
      <c r="G230" s="28">
        <f>H229</f>
        <v>45203.000000000073</v>
      </c>
      <c r="H230" s="28">
        <f>G230+(F230/24)/60</f>
        <v>45203.996527777854</v>
      </c>
      <c r="I230" s="29" t="str">
        <f>PROPER(TEXT(G230,"dddd"))</f>
        <v>Miércoles</v>
      </c>
      <c r="J230" s="30">
        <f>SUM(J231:J247)</f>
        <v>13</v>
      </c>
      <c r="K230" s="31"/>
      <c r="L230" s="32"/>
      <c r="M230" s="31"/>
      <c r="N230" s="48"/>
      <c r="O230" s="49" t="e">
        <f ca="1">SUM(O231:O247)</f>
        <v>#REF!</v>
      </c>
      <c r="P230" s="49" t="e">
        <f ca="1">SUM(P231:P247)</f>
        <v>#REF!</v>
      </c>
      <c r="Q230" s="38">
        <f>AVERAGE(Q231:Q247)</f>
        <v>3</v>
      </c>
      <c r="R230" s="8"/>
      <c r="S230" s="8"/>
      <c r="T230" s="8"/>
    </row>
    <row r="231" spans="1:20" s="56" customFormat="1" hidden="1" outlineLevel="4">
      <c r="A231" s="43">
        <v>0</v>
      </c>
      <c r="B231" s="41" t="s">
        <v>24</v>
      </c>
      <c r="C231" s="41" t="s">
        <v>37</v>
      </c>
      <c r="D231" s="25" t="str">
        <f t="shared" si="180"/>
        <v></v>
      </c>
      <c r="E231" s="42" t="s">
        <v>37</v>
      </c>
      <c r="F231" s="43">
        <v>400</v>
      </c>
      <c r="G231" s="28">
        <f>H229</f>
        <v>45203.000000000073</v>
      </c>
      <c r="H231" s="28">
        <f>G231+(F231/24)/60</f>
        <v>45203.277777777854</v>
      </c>
      <c r="I231" s="29"/>
      <c r="J231" s="30"/>
      <c r="K231" s="31"/>
      <c r="L231" s="32"/>
      <c r="M231" s="31"/>
      <c r="N231" s="33"/>
      <c r="O231" s="51" cm="1">
        <f t="array" aca="1" ref="O231" ca="1">IF(K231="SI",IF(N231&lt;&gt;0,(INDIRECT(M231)*N231)/L231,0),0)</f>
        <v>0</v>
      </c>
      <c r="P231" s="51" cm="1">
        <f t="array" aca="1" ref="P231" ca="1">IF(N231&lt;&gt;0,(INDIRECT(M231)*N231)/L231,0)</f>
        <v>0</v>
      </c>
      <c r="Q231" s="38">
        <v>3</v>
      </c>
      <c r="R231" s="8"/>
      <c r="S231" s="8"/>
      <c r="T231" s="8"/>
    </row>
    <row r="232" spans="1:20" s="56" customFormat="1" hidden="1" outlineLevel="4">
      <c r="A232" s="43">
        <v>0</v>
      </c>
      <c r="B232" s="41" t="s">
        <v>24</v>
      </c>
      <c r="C232" s="41" t="s">
        <v>25</v>
      </c>
      <c r="D232" s="25" t="str">
        <f t="shared" ref="D232:D478" si="181">IFERROR(VLOOKUP(C232,Todos,2,FALSE),"")</f>
        <v></v>
      </c>
      <c r="E232" s="42" t="s">
        <v>350</v>
      </c>
      <c r="F232" s="43">
        <v>0</v>
      </c>
      <c r="G232" s="28">
        <f>H231</f>
        <v>45203.277777777854</v>
      </c>
      <c r="H232" s="28">
        <f>G232+(F232/24)/60</f>
        <v>45203.277777777854</v>
      </c>
      <c r="I232" s="29" t="s">
        <v>351</v>
      </c>
      <c r="J232" s="30"/>
      <c r="K232" s="31"/>
      <c r="L232" s="32"/>
      <c r="M232" s="31"/>
      <c r="N232" s="33"/>
      <c r="O232" s="51" cm="1">
        <f t="array" aca="1" ref="O232" ca="1">IF(K232="SI",IF(N232&lt;&gt;0,(INDIRECT(M232)*N232)/L232,0),0)</f>
        <v>0</v>
      </c>
      <c r="P232" s="51" cm="1">
        <f t="array" aca="1" ref="P232" ca="1">IF(N232&lt;&gt;0,(INDIRECT(M232)*N232)/L232,0)</f>
        <v>0</v>
      </c>
      <c r="Q232" s="38">
        <v>3</v>
      </c>
      <c r="R232" s="8"/>
      <c r="S232" s="8"/>
      <c r="T232" s="8"/>
    </row>
    <row r="233" spans="1:20" s="56" customFormat="1" hidden="1" outlineLevel="4">
      <c r="A233" s="43">
        <v>0</v>
      </c>
      <c r="B233" s="41" t="s">
        <v>71</v>
      </c>
      <c r="C233" s="41" t="s">
        <v>75</v>
      </c>
      <c r="D233" s="25" t="str">
        <f t="shared" ref="D233:D479" si="182">IFERROR(VLOOKUP(C233,Todos,2,FALSE),"")</f>
        <v></v>
      </c>
      <c r="E233" s="42" t="s">
        <v>75</v>
      </c>
      <c r="F233" s="43">
        <v>60</v>
      </c>
      <c r="G233" s="28">
        <f t="shared" ref="G233:G247" si="183">H232</f>
        <v>45203.277777777854</v>
      </c>
      <c r="H233" s="28">
        <f t="shared" ref="H233:H296" si="184">G233+(F233/24)/60</f>
        <v>45203.319444444518</v>
      </c>
      <c r="I233" s="29" t="s">
        <v>76</v>
      </c>
      <c r="J233" s="30"/>
      <c r="K233" s="31" t="s">
        <v>27</v>
      </c>
      <c r="L233" s="32">
        <v>1</v>
      </c>
      <c r="M233" s="31" t="s">
        <v>205</v>
      </c>
      <c r="N233" s="33">
        <v>0</v>
      </c>
      <c r="O233" s="51" cm="1">
        <f t="array" aca="1" ref="O233" ca="1">IF(K233="SI",IF(N233&lt;&gt;0,(INDIRECT(M233)*N233)/L233,0),0)</f>
        <v>0</v>
      </c>
      <c r="P233" s="51" cm="1">
        <f t="array" aca="1" ref="P233" ca="1">IF(N233&lt;&gt;0,(INDIRECT(M233)*N233)/L233,0)</f>
        <v>0</v>
      </c>
      <c r="Q233" s="38">
        <v>3</v>
      </c>
      <c r="R233" s="8"/>
      <c r="S233" s="8"/>
      <c r="T233" s="8"/>
    </row>
    <row r="234" spans="1:20" s="56" customFormat="1" hidden="1" outlineLevel="4">
      <c r="A234" s="43">
        <v>0</v>
      </c>
      <c r="B234" s="41" t="s">
        <v>38</v>
      </c>
      <c r="C234" s="41" t="s">
        <v>60</v>
      </c>
      <c r="D234" s="25" t="str">
        <f t="shared" ref="D234:D480" si="185">IFERROR(VLOOKUP(C234,Todos,2,FALSE),"")</f>
        <v></v>
      </c>
      <c r="E234" s="42" t="s">
        <v>352</v>
      </c>
      <c r="F234" s="43">
        <v>20</v>
      </c>
      <c r="G234" s="28">
        <f t="shared" si="183"/>
        <v>45203.319444444518</v>
      </c>
      <c r="H234" s="28">
        <f t="shared" si="184"/>
        <v>45203.333333333409</v>
      </c>
      <c r="I234" s="29"/>
      <c r="J234" s="30">
        <v>1</v>
      </c>
      <c r="K234" s="31"/>
      <c r="L234" s="32"/>
      <c r="M234" s="31"/>
      <c r="N234" s="33"/>
      <c r="O234" s="51" cm="1">
        <f t="array" aca="1" ref="O234" ca="1">IF(K234="SI",IF(N234&lt;&gt;0,(INDIRECT(M234)*N234)/L234,0),0)</f>
        <v>0</v>
      </c>
      <c r="P234" s="51" cm="1">
        <f t="array" aca="1" ref="P234" ca="1">IF(N234&lt;&gt;0,(INDIRECT(M234)*N234)/L234,0)</f>
        <v>0</v>
      </c>
      <c r="Q234" s="38">
        <v>3</v>
      </c>
      <c r="R234" s="8"/>
      <c r="S234" s="8"/>
      <c r="T234" s="8"/>
    </row>
    <row r="235" spans="1:20" s="56" customFormat="1" ht="31.5" hidden="1" outlineLevel="4">
      <c r="A235" s="43">
        <v>0</v>
      </c>
      <c r="B235" s="41" t="s">
        <v>62</v>
      </c>
      <c r="C235" s="41" t="s">
        <v>89</v>
      </c>
      <c r="D235" s="25" t="str">
        <f t="shared" ref="D235:D481" si="186">IFERROR(VLOOKUP(C235,Todos,2,FALSE),"")</f>
        <v></v>
      </c>
      <c r="E235" s="42" t="s">
        <v>353</v>
      </c>
      <c r="F235" s="43">
        <v>180</v>
      </c>
      <c r="G235" s="28">
        <f t="shared" si="183"/>
        <v>45203.333333333409</v>
      </c>
      <c r="H235" s="28">
        <f t="shared" si="184"/>
        <v>45203.458333333409</v>
      </c>
      <c r="I235" s="29" t="s">
        <v>354</v>
      </c>
      <c r="J235" s="30">
        <v>2</v>
      </c>
      <c r="K235" s="31" t="s">
        <v>27</v>
      </c>
      <c r="L235" s="32">
        <v>3</v>
      </c>
      <c r="M235" s="31" t="s">
        <v>28</v>
      </c>
      <c r="N235" s="33">
        <v>278482</v>
      </c>
      <c r="O235" s="51" t="e" cm="1">
        <f t="array" aca="1" ref="O235" ca="1">IF(K235="SI",IF(N235&lt;&gt;0,(INDIRECT(M235)*N235)/L235,0),0)</f>
        <v>#REF!</v>
      </c>
      <c r="P235" s="51" t="e" cm="1">
        <f t="array" aca="1" ref="P235" ca="1">IF(N235&lt;&gt;0,(INDIRECT(M235)*N235)/L235,0)</f>
        <v>#REF!</v>
      </c>
      <c r="Q235" s="38">
        <v>3</v>
      </c>
      <c r="R235" s="8"/>
      <c r="S235" s="8"/>
      <c r="T235" s="8"/>
    </row>
    <row r="236" spans="1:20" s="56" customFormat="1" hidden="1" outlineLevel="4">
      <c r="A236" s="43">
        <v>0</v>
      </c>
      <c r="B236" s="41" t="s">
        <v>24</v>
      </c>
      <c r="C236" s="41" t="s">
        <v>37</v>
      </c>
      <c r="D236" s="25" t="str">
        <f t="shared" ref="D236:D482" si="187">IFERROR(VLOOKUP(C236,Todos,2,FALSE),"")</f>
        <v></v>
      </c>
      <c r="E236" s="42" t="s">
        <v>37</v>
      </c>
      <c r="F236" s="43">
        <v>50</v>
      </c>
      <c r="G236" s="28">
        <f t="shared" si="183"/>
        <v>45203.458333333409</v>
      </c>
      <c r="H236" s="28">
        <f t="shared" si="184"/>
        <v>45203.493055555628</v>
      </c>
      <c r="I236" s="29"/>
      <c r="J236" s="30"/>
      <c r="K236" s="31"/>
      <c r="L236" s="32"/>
      <c r="M236" s="31"/>
      <c r="N236" s="33"/>
      <c r="O236" s="51" cm="1">
        <f t="array" aca="1" ref="O236" ca="1">IF(K236="SI",IF(N236&lt;&gt;0,(INDIRECT(M236)*N236)/L236,0),0)</f>
        <v>0</v>
      </c>
      <c r="P236" s="51" cm="1">
        <f t="array" aca="1" ref="P236" ca="1">IF(N236&lt;&gt;0,(INDIRECT(M236)*N236)/L236,0)</f>
        <v>0</v>
      </c>
      <c r="Q236" s="38">
        <v>3</v>
      </c>
      <c r="R236" s="8"/>
      <c r="S236" s="8"/>
      <c r="T236" s="8"/>
    </row>
    <row r="237" spans="1:20" s="56" customFormat="1" hidden="1" outlineLevel="4">
      <c r="A237" s="43">
        <v>0</v>
      </c>
      <c r="B237" s="41" t="s">
        <v>38</v>
      </c>
      <c r="C237" s="41" t="s">
        <v>60</v>
      </c>
      <c r="D237" s="25" t="str">
        <f t="shared" ref="D237:D483" si="188">IFERROR(VLOOKUP(C237,Todos,2,FALSE),"")</f>
        <v></v>
      </c>
      <c r="E237" s="42" t="s">
        <v>355</v>
      </c>
      <c r="F237" s="43">
        <v>10</v>
      </c>
      <c r="G237" s="28">
        <f t="shared" si="183"/>
        <v>45203.493055555628</v>
      </c>
      <c r="H237" s="28">
        <f t="shared" si="184"/>
        <v>45203.500000000073</v>
      </c>
      <c r="I237" s="29"/>
      <c r="J237" s="30">
        <v>1</v>
      </c>
      <c r="K237" s="31"/>
      <c r="L237" s="32"/>
      <c r="M237" s="31"/>
      <c r="N237" s="33"/>
      <c r="O237" s="51" cm="1">
        <f t="array" aca="1" ref="O237" ca="1">IF(K237="SI",IF(N237&lt;&gt;0,(INDIRECT(M237)*N237)/L237,0),0)</f>
        <v>0</v>
      </c>
      <c r="P237" s="51" cm="1">
        <f t="array" aca="1" ref="P237" ca="1">IF(N237&lt;&gt;0,(INDIRECT(M237)*N237)/L237,0)</f>
        <v>0</v>
      </c>
      <c r="Q237" s="38">
        <v>3</v>
      </c>
      <c r="R237" s="8"/>
      <c r="S237" s="8"/>
      <c r="T237" s="8"/>
    </row>
    <row r="238" spans="1:20" s="56" customFormat="1" hidden="1" outlineLevel="4">
      <c r="A238" s="43">
        <v>0</v>
      </c>
      <c r="B238" s="41" t="s">
        <v>71</v>
      </c>
      <c r="C238" s="41" t="s">
        <v>95</v>
      </c>
      <c r="D238" s="25" t="str">
        <f>IFERROR(VLOOKUP(C238,Todos,2,FALSE),"")</f>
        <v></v>
      </c>
      <c r="E238" s="42" t="s">
        <v>356</v>
      </c>
      <c r="F238" s="43">
        <v>80</v>
      </c>
      <c r="G238" s="28">
        <f t="shared" si="183"/>
        <v>45203.500000000073</v>
      </c>
      <c r="H238" s="28">
        <f t="shared" si="184"/>
        <v>45203.555555555628</v>
      </c>
      <c r="I238" s="29" t="s">
        <v>357</v>
      </c>
      <c r="J238" s="30"/>
      <c r="K238" s="31" t="s">
        <v>58</v>
      </c>
      <c r="L238" s="32">
        <v>1</v>
      </c>
      <c r="M238" s="31" t="s">
        <v>205</v>
      </c>
      <c r="N238" s="33">
        <v>20</v>
      </c>
      <c r="O238" s="51" cm="1">
        <f t="array" aca="1" ref="O238" ca="1">IF(K238="SI",IF(N238&lt;&gt;0,(INDIRECT(M238)*N238)/L238,0),0)</f>
        <v>0</v>
      </c>
      <c r="P238" s="51" t="e" cm="1">
        <f t="array" aca="1" ref="P238" ca="1">IF(N238&lt;&gt;0,(INDIRECT(M238)*N238)/L238,0)</f>
        <v>#REF!</v>
      </c>
      <c r="Q238" s="38">
        <v>3</v>
      </c>
      <c r="R238" s="8"/>
      <c r="S238" s="8"/>
      <c r="T238" s="8"/>
    </row>
    <row r="239" spans="1:20" s="56" customFormat="1" hidden="1" outlineLevel="4">
      <c r="A239" s="43">
        <v>0</v>
      </c>
      <c r="B239" s="41" t="s">
        <v>38</v>
      </c>
      <c r="C239" s="41" t="s">
        <v>60</v>
      </c>
      <c r="D239" s="25" t="str">
        <f>IFERROR(VLOOKUP(C239,Todos,2,FALSE),"")</f>
        <v></v>
      </c>
      <c r="E239" s="42" t="s">
        <v>358</v>
      </c>
      <c r="F239" s="43">
        <v>10</v>
      </c>
      <c r="G239" s="28">
        <f t="shared" si="183"/>
        <v>45203.555555555628</v>
      </c>
      <c r="H239" s="28">
        <f t="shared" si="184"/>
        <v>45203.562500000073</v>
      </c>
      <c r="I239" s="29"/>
      <c r="J239" s="30">
        <v>0.6</v>
      </c>
      <c r="K239" s="31"/>
      <c r="L239" s="32"/>
      <c r="M239" s="31"/>
      <c r="N239" s="33"/>
      <c r="O239" s="51" cm="1">
        <f t="array" aca="1" ref="O239" ca="1">IF(K239="SI",IF(N239&lt;&gt;0,(INDIRECT(M239)*N239)/L239,0),0)</f>
        <v>0</v>
      </c>
      <c r="P239" s="51" cm="1">
        <f t="array" aca="1" ref="P239" ca="1">IF(N239&lt;&gt;0,(INDIRECT(M239)*N239)/L239,0)</f>
        <v>0</v>
      </c>
      <c r="Q239" s="38">
        <v>3</v>
      </c>
      <c r="R239" s="8"/>
      <c r="S239" s="8"/>
      <c r="T239" s="8"/>
    </row>
    <row r="240" spans="1:20" s="56" customFormat="1" ht="21" hidden="1" outlineLevel="4">
      <c r="A240" s="43">
        <v>0</v>
      </c>
      <c r="B240" s="41" t="s">
        <v>62</v>
      </c>
      <c r="C240" s="41" t="s">
        <v>102</v>
      </c>
      <c r="D240" s="25" t="str">
        <f>IFERROR(VLOOKUP(C240,Todos,2,FALSE),"")</f>
        <v></v>
      </c>
      <c r="E240" s="42" t="s">
        <v>359</v>
      </c>
      <c r="F240" s="43">
        <v>120</v>
      </c>
      <c r="G240" s="28">
        <f t="shared" si="183"/>
        <v>45203.562500000073</v>
      </c>
      <c r="H240" s="28">
        <f t="shared" si="184"/>
        <v>45203.645833333409</v>
      </c>
      <c r="I240" s="29" t="s">
        <v>360</v>
      </c>
      <c r="J240" s="30">
        <v>2</v>
      </c>
      <c r="K240" s="31" t="s">
        <v>58</v>
      </c>
      <c r="L240" s="32">
        <v>1</v>
      </c>
      <c r="M240" s="31" t="s">
        <v>205</v>
      </c>
      <c r="N240" s="33">
        <v>15</v>
      </c>
      <c r="O240" s="51" cm="1">
        <f t="array" aca="1" ref="O240" ca="1">IF(K240="SI",IF(N240&lt;&gt;0,(INDIRECT(M240)*N240)/L240,0),0)</f>
        <v>0</v>
      </c>
      <c r="P240" s="51" t="e" cm="1">
        <f t="array" aca="1" ref="P240" ca="1">IF(N240&lt;&gt;0,(INDIRECT(M240)*N240)/L240,0)</f>
        <v>#REF!</v>
      </c>
      <c r="Q240" s="38">
        <v>3</v>
      </c>
      <c r="R240" s="8"/>
      <c r="S240" s="8"/>
      <c r="T240" s="8"/>
    </row>
    <row r="241" spans="1:20" s="56" customFormat="1" hidden="1" outlineLevel="4">
      <c r="A241" s="43">
        <v>0</v>
      </c>
      <c r="B241" s="41" t="s">
        <v>38</v>
      </c>
      <c r="C241" s="41" t="s">
        <v>60</v>
      </c>
      <c r="D241" s="25" t="str">
        <f>IFERROR(VLOOKUP(C241,Todos,2,FALSE),"")</f>
        <v></v>
      </c>
      <c r="E241" s="42" t="s">
        <v>361</v>
      </c>
      <c r="F241" s="43">
        <v>20</v>
      </c>
      <c r="G241" s="28">
        <f t="shared" si="183"/>
        <v>45203.645833333409</v>
      </c>
      <c r="H241" s="28">
        <f t="shared" si="184"/>
        <v>45203.659722222299</v>
      </c>
      <c r="I241" s="29"/>
      <c r="J241" s="30">
        <v>1.3</v>
      </c>
      <c r="K241" s="31"/>
      <c r="L241" s="32"/>
      <c r="M241" s="31"/>
      <c r="N241" s="33"/>
      <c r="O241" s="51" cm="1">
        <f t="array" aca="1" ref="O241" ca="1">IF(K241="SI",IF(N241&lt;&gt;0,(INDIRECT(M241)*N241)/L241,0),0)</f>
        <v>0</v>
      </c>
      <c r="P241" s="51" cm="1">
        <f t="array" aca="1" ref="P241" ca="1">IF(N241&lt;&gt;0,(INDIRECT(M241)*N241)/L241,0)</f>
        <v>0</v>
      </c>
      <c r="Q241" s="38">
        <v>3</v>
      </c>
      <c r="R241" s="8"/>
      <c r="S241" s="8"/>
      <c r="T241" s="8"/>
    </row>
    <row r="242" spans="1:20" s="56" customFormat="1" hidden="1" outlineLevel="4">
      <c r="A242" s="43">
        <v>0</v>
      </c>
      <c r="B242" s="41" t="s">
        <v>71</v>
      </c>
      <c r="C242" s="41" t="s">
        <v>268</v>
      </c>
      <c r="D242" s="25" t="str">
        <f>IFERROR(VLOOKUP(C242,Todos,2,FALSE),"")</f>
        <v></v>
      </c>
      <c r="E242" s="42" t="s">
        <v>362</v>
      </c>
      <c r="F242" s="43">
        <v>60</v>
      </c>
      <c r="G242" s="28">
        <f t="shared" si="183"/>
        <v>45203.659722222299</v>
      </c>
      <c r="H242" s="28">
        <f t="shared" si="184"/>
        <v>45203.701388888963</v>
      </c>
      <c r="I242" s="29" t="s">
        <v>363</v>
      </c>
      <c r="J242" s="30"/>
      <c r="K242" s="31" t="s">
        <v>58</v>
      </c>
      <c r="L242" s="32">
        <v>1</v>
      </c>
      <c r="M242" s="31" t="s">
        <v>205</v>
      </c>
      <c r="N242" s="33">
        <v>15</v>
      </c>
      <c r="O242" s="51" cm="1">
        <f t="array" aca="1" ref="O242" ca="1">IF(K242="SI",IF(N242&lt;&gt;0,(INDIRECT(M242)*N242)/L242,0),0)</f>
        <v>0</v>
      </c>
      <c r="P242" s="51" t="e" cm="1">
        <f t="array" aca="1" ref="P242" ca="1">IF(N242&lt;&gt;0,(INDIRECT(M242)*N242)/L242,0)</f>
        <v>#REF!</v>
      </c>
      <c r="Q242" s="38">
        <v>3</v>
      </c>
      <c r="R242" s="8"/>
      <c r="S242" s="8"/>
      <c r="T242" s="8"/>
    </row>
    <row r="243" spans="1:20" s="56" customFormat="1" hidden="1" outlineLevel="4">
      <c r="A243" s="43">
        <v>0</v>
      </c>
      <c r="B243" s="41" t="s">
        <v>38</v>
      </c>
      <c r="C243" s="41" t="s">
        <v>60</v>
      </c>
      <c r="D243" s="25" t="str">
        <f t="shared" ref="D243:D260" si="189">IFERROR(VLOOKUP(C243,Todos,2,FALSE),"")</f>
        <v></v>
      </c>
      <c r="E243" s="42" t="s">
        <v>364</v>
      </c>
      <c r="F243" s="43">
        <v>40</v>
      </c>
      <c r="G243" s="28">
        <f t="shared" si="183"/>
        <v>45203.701388888963</v>
      </c>
      <c r="H243" s="28">
        <f t="shared" si="184"/>
        <v>45203.729166666744</v>
      </c>
      <c r="I243" s="29"/>
      <c r="J243" s="30">
        <v>1.6</v>
      </c>
      <c r="K243" s="31"/>
      <c r="L243" s="32"/>
      <c r="M243" s="31"/>
      <c r="N243" s="33"/>
      <c r="O243" s="51" cm="1">
        <f t="array" aca="1" ref="O243" ca="1">IF(K243="SI",IF(N243&lt;&gt;0,(INDIRECT(M243)*N243)/L243,0),0)</f>
        <v>0</v>
      </c>
      <c r="P243" s="51" cm="1">
        <f t="array" aca="1" ref="P243" ca="1">IF(N243&lt;&gt;0,(INDIRECT(M243)*N243)/L243,0)</f>
        <v>0</v>
      </c>
      <c r="Q243" s="38">
        <v>3</v>
      </c>
      <c r="R243" s="8"/>
      <c r="S243" s="8"/>
      <c r="T243" s="8"/>
    </row>
    <row r="244" spans="1:20" s="56" customFormat="1" hidden="1" outlineLevel="4">
      <c r="A244" s="43">
        <v>0</v>
      </c>
      <c r="B244" s="41" t="s">
        <v>62</v>
      </c>
      <c r="C244" s="41" t="s">
        <v>171</v>
      </c>
      <c r="D244" s="25" t="str">
        <f t="shared" ref="D244:D261" si="190">IFERROR(VLOOKUP(C244,Todos,2,FALSE),"")</f>
        <v></v>
      </c>
      <c r="E244" s="42" t="s">
        <v>365</v>
      </c>
      <c r="F244" s="43">
        <v>90</v>
      </c>
      <c r="G244" s="28">
        <f t="shared" si="183"/>
        <v>45203.729166666744</v>
      </c>
      <c r="H244" s="28">
        <f t="shared" si="184"/>
        <v>45203.791666666744</v>
      </c>
      <c r="I244" s="29" t="s">
        <v>366</v>
      </c>
      <c r="J244" s="30">
        <v>2</v>
      </c>
      <c r="K244" s="31" t="s">
        <v>27</v>
      </c>
      <c r="L244" s="32">
        <v>1</v>
      </c>
      <c r="M244" s="31" t="s">
        <v>205</v>
      </c>
      <c r="N244" s="33">
        <v>0</v>
      </c>
      <c r="O244" s="51" cm="1">
        <f t="array" aca="1" ref="O244" ca="1">IF(K244="SI",IF(N244&lt;&gt;0,(INDIRECT(M244)*N244)/L244,0),0)</f>
        <v>0</v>
      </c>
      <c r="P244" s="51" cm="1">
        <f t="array" aca="1" ref="P244" ca="1">IF(N244&lt;&gt;0,(INDIRECT(M244)*N244)/L244,0)</f>
        <v>0</v>
      </c>
      <c r="Q244" s="38">
        <v>3</v>
      </c>
      <c r="R244" s="8"/>
      <c r="S244" s="8"/>
      <c r="T244" s="8"/>
    </row>
    <row r="245" spans="1:20" s="56" customFormat="1" hidden="1" outlineLevel="4">
      <c r="A245" s="43">
        <v>0</v>
      </c>
      <c r="B245" s="41" t="s">
        <v>38</v>
      </c>
      <c r="C245" s="41" t="s">
        <v>60</v>
      </c>
      <c r="D245" s="25" t="str">
        <f t="shared" ref="D245:D262" si="191">IFERROR(VLOOKUP(C245,Todos,2,FALSE),"")</f>
        <v></v>
      </c>
      <c r="E245" s="42" t="s">
        <v>367</v>
      </c>
      <c r="F245" s="43">
        <v>20</v>
      </c>
      <c r="G245" s="28">
        <f t="shared" si="183"/>
        <v>45203.791666666744</v>
      </c>
      <c r="H245" s="28">
        <f t="shared" si="184"/>
        <v>45203.805555555635</v>
      </c>
      <c r="I245" s="29"/>
      <c r="J245" s="30">
        <v>1.5</v>
      </c>
      <c r="K245" s="31"/>
      <c r="L245" s="32"/>
      <c r="M245" s="31"/>
      <c r="N245" s="33"/>
      <c r="O245" s="51" cm="1">
        <f t="array" aca="1" ref="O245" ca="1">IF(K245="SI",IF(N245&lt;&gt;0,(INDIRECT(M245)*N245)/L245,0),0)</f>
        <v>0</v>
      </c>
      <c r="P245" s="51" cm="1">
        <f t="array" aca="1" ref="P245" ca="1">IF(N245&lt;&gt;0,(INDIRECT(M245)*N245)/L245,0)</f>
        <v>0</v>
      </c>
      <c r="Q245" s="38">
        <v>3</v>
      </c>
      <c r="R245" s="8"/>
      <c r="S245" s="8"/>
      <c r="T245" s="8"/>
    </row>
    <row r="246" spans="1:20" s="56" customFormat="1" hidden="1" outlineLevel="4">
      <c r="A246" s="43">
        <v>0</v>
      </c>
      <c r="B246" s="41" t="s">
        <v>38</v>
      </c>
      <c r="C246" s="41" t="s">
        <v>55</v>
      </c>
      <c r="D246" s="25" t="str">
        <f t="shared" ref="D246:D263" si="192">IFERROR(VLOOKUP(C246,Todos,2,FALSE),"")</f>
        <v></v>
      </c>
      <c r="E246" s="42" t="s">
        <v>368</v>
      </c>
      <c r="F246" s="43">
        <v>55</v>
      </c>
      <c r="G246" s="28">
        <f t="shared" si="183"/>
        <v>45203.805555555635</v>
      </c>
      <c r="H246" s="28">
        <f t="shared" si="184"/>
        <v>45203.84375000008</v>
      </c>
      <c r="I246" s="29" t="s">
        <v>369</v>
      </c>
      <c r="J246" s="30"/>
      <c r="K246" s="31" t="s">
        <v>27</v>
      </c>
      <c r="L246" s="32">
        <v>1</v>
      </c>
      <c r="M246" s="31" t="s">
        <v>205</v>
      </c>
      <c r="N246" s="33">
        <v>0</v>
      </c>
      <c r="O246" s="51" cm="1">
        <f t="array" aca="1" ref="O246" ca="1">IF(K246="SI",IF(N246&lt;&gt;0,(INDIRECT(M246)*N246)/L246,0),0)</f>
        <v>0</v>
      </c>
      <c r="P246" s="51" cm="1">
        <f t="array" aca="1" ref="P246" ca="1">IF(N246&lt;&gt;0,(INDIRECT(M246)*N246)/L246,0)</f>
        <v>0</v>
      </c>
      <c r="Q246" s="38">
        <v>3</v>
      </c>
      <c r="R246" s="8"/>
      <c r="S246" s="8"/>
      <c r="T246" s="8"/>
    </row>
    <row r="247" spans="1:20" s="56" customFormat="1" hidden="1" outlineLevel="4">
      <c r="A247" s="43">
        <v>0</v>
      </c>
      <c r="B247" s="41" t="s">
        <v>42</v>
      </c>
      <c r="C247" s="41" t="s">
        <v>43</v>
      </c>
      <c r="D247" s="25" t="str">
        <f t="shared" ref="D247:D264" si="193">IFERROR(VLOOKUP(C247,Todos,2,FALSE),"")</f>
        <v></v>
      </c>
      <c r="E247" s="42" t="s">
        <v>44</v>
      </c>
      <c r="F247" s="43">
        <v>220</v>
      </c>
      <c r="G247" s="28">
        <f t="shared" si="183"/>
        <v>45203.84375000008</v>
      </c>
      <c r="H247" s="28">
        <f t="shared" si="184"/>
        <v>45203.996527777861</v>
      </c>
      <c r="I247" s="29" t="s">
        <v>370</v>
      </c>
      <c r="J247" s="30"/>
      <c r="K247" s="31"/>
      <c r="L247" s="32"/>
      <c r="M247" s="31"/>
      <c r="N247" s="33"/>
      <c r="O247" s="51" cm="1">
        <f t="array" aca="1" ref="O247" ca="1">IF(K247="SI",IF(N247&lt;&gt;0,(INDIRECT(M247)*N247)/L247,0),0)</f>
        <v>0</v>
      </c>
      <c r="P247" s="51" cm="1">
        <f t="array" aca="1" ref="P247" ca="1">IF(N247&lt;&gt;0,(INDIRECT(M247)*N247)/L247,0)</f>
        <v>0</v>
      </c>
      <c r="Q247" s="38">
        <v>3</v>
      </c>
      <c r="R247" s="8"/>
      <c r="S247" s="8"/>
      <c r="T247" s="8"/>
    </row>
    <row r="248" spans="1:20" s="56" customFormat="1" ht="42" hidden="1" outlineLevel="1">
      <c r="A248" s="43">
        <v>2</v>
      </c>
      <c r="B248" s="41" t="s">
        <v>38</v>
      </c>
      <c r="C248" s="41" t="s">
        <v>46</v>
      </c>
      <c r="D248" s="25" t="str">
        <f t="shared" ref="D248:D265" si="194">IFERROR(VLOOKUP(C248,Todos,2,FALSE),"")</f>
        <v></v>
      </c>
      <c r="E248" s="42" t="s">
        <v>371</v>
      </c>
      <c r="F248" s="43">
        <v>115</v>
      </c>
      <c r="G248" s="28">
        <f>H247</f>
        <v>45203.996527777861</v>
      </c>
      <c r="H248" s="28">
        <f t="shared" si="184"/>
        <v>45204.076388888971</v>
      </c>
      <c r="I248" s="29" t="s">
        <v>372</v>
      </c>
      <c r="J248" s="30"/>
      <c r="K248" s="31" t="s">
        <v>27</v>
      </c>
      <c r="L248" s="32">
        <v>3</v>
      </c>
      <c r="M248" s="31" t="s">
        <v>28</v>
      </c>
      <c r="N248" s="33">
        <v>1574320</v>
      </c>
      <c r="O248" s="51" t="e" cm="1">
        <f t="array" aca="1" ref="O248" ca="1">IF(K248="SI",IF(N248&lt;&gt;0,(INDIRECT(M248)*N248)/L248,0),0)</f>
        <v>#REF!</v>
      </c>
      <c r="P248" s="51" t="e" cm="1">
        <f t="array" aca="1" ref="P248" ca="1">IF(N248&lt;&gt;0,(INDIRECT(M248)*N248)/L248,0)</f>
        <v>#REF!</v>
      </c>
      <c r="Q248" s="38">
        <v>3</v>
      </c>
      <c r="R248" s="8"/>
      <c r="S248" s="8"/>
      <c r="T248" s="8"/>
    </row>
    <row r="249" spans="1:20" outlineLevel="1">
      <c r="A249" s="43">
        <v>0</v>
      </c>
      <c r="B249" s="41" t="s">
        <v>15</v>
      </c>
      <c r="C249" s="41" t="s">
        <v>18</v>
      </c>
      <c r="D249" s="25" t="str">
        <f t="shared" ref="D249:D266" si="195">IFERROR(VLOOKUP(C249,Todos,2,FALSE),"")</f>
        <v></v>
      </c>
      <c r="E249" s="45" t="s">
        <v>373</v>
      </c>
      <c r="F249" s="43">
        <f>F250+F271+F272+F309+F310+F333+F334</f>
        <v>10515</v>
      </c>
      <c r="G249" s="28">
        <f>H248</f>
        <v>45204.076388888971</v>
      </c>
      <c r="H249" s="28">
        <f t="shared" si="184"/>
        <v>45211.378472222306</v>
      </c>
      <c r="I249" s="29" t="str">
        <f>PROPER(TEXT(G249,"dddd")) &amp; " - Días Totales: " &amp; ROUND(F249/1440,0)</f>
        <v>Jueves - Días Totales: 7</v>
      </c>
      <c r="J249" s="30">
        <f>J250+J271+J272+J309+J310+J333+J334</f>
        <v>12</v>
      </c>
      <c r="K249" s="31"/>
      <c r="L249" s="32"/>
      <c r="M249" s="31"/>
      <c r="N249" s="33"/>
      <c r="O249" s="51" t="e">
        <f ca="1">O250+O271+O272+O309+O310+O333+O334</f>
        <v>#REF!</v>
      </c>
      <c r="P249" s="51" t="e">
        <f ca="1">P250+P271+P272+P309+P310+P333+P334</f>
        <v>#REF!</v>
      </c>
      <c r="Q249" s="38">
        <f>AVERAGE(Q250,Q272,Q334,Q271,Q333,Q309,Q310)</f>
        <v>3</v>
      </c>
    </row>
    <row r="250" spans="1:20" hidden="1" outlineLevel="2">
      <c r="A250" s="43">
        <v>0</v>
      </c>
      <c r="B250" s="41" t="s">
        <v>15</v>
      </c>
      <c r="C250" s="41" t="s">
        <v>20</v>
      </c>
      <c r="D250" s="25" t="str">
        <f t="shared" si="195"/>
        <v></v>
      </c>
      <c r="E250" s="42" t="s">
        <v>374</v>
      </c>
      <c r="F250" s="43">
        <f>F251</f>
        <v>1075</v>
      </c>
      <c r="G250" s="28">
        <f>H248</f>
        <v>45204.076388888971</v>
      </c>
      <c r="H250" s="28">
        <f t="shared" si="184"/>
        <v>45204.822916666752</v>
      </c>
      <c r="I250" s="29" t="str">
        <f>PROPER(TEXT(G250,"dddd")) &amp; " - Días Totales: " &amp; ROUND(F250/1440,0)</f>
        <v>Jueves - Días Totales: 1</v>
      </c>
      <c r="J250" s="30">
        <f>J251</f>
        <v>3.0000000000000009</v>
      </c>
      <c r="K250" s="31"/>
      <c r="L250" s="32"/>
      <c r="M250" s="31"/>
      <c r="N250" s="33"/>
      <c r="O250" s="51" t="e">
        <f ca="1">O251</f>
        <v>#REF!</v>
      </c>
      <c r="P250" s="51" t="e">
        <f ca="1">P251</f>
        <v>#REF!</v>
      </c>
      <c r="Q250" s="38">
        <f>AVERAGE(Q251)</f>
        <v>3</v>
      </c>
    </row>
    <row r="251" spans="1:20" s="56" customFormat="1" outlineLevel="3">
      <c r="A251" s="43">
        <v>0</v>
      </c>
      <c r="B251" s="41" t="s">
        <v>15</v>
      </c>
      <c r="C251" s="41" t="s">
        <v>22</v>
      </c>
      <c r="D251" s="25" t="str">
        <f t="shared" si="195"/>
        <v></v>
      </c>
      <c r="E251" s="55" t="s">
        <v>375</v>
      </c>
      <c r="F251" s="43">
        <f>SUM(F252:F270)</f>
        <v>1075</v>
      </c>
      <c r="G251" s="28">
        <f>H248</f>
        <v>45204.076388888971</v>
      </c>
      <c r="H251" s="28">
        <f t="shared" si="184"/>
        <v>45204.822916666752</v>
      </c>
      <c r="I251" s="29" t="str">
        <f>PROPER(TEXT(G251,"dddd"))</f>
        <v>Jueves</v>
      </c>
      <c r="J251" s="30">
        <f>SUM(J252:J270)</f>
        <v>3.0000000000000009</v>
      </c>
      <c r="K251" s="31"/>
      <c r="L251" s="32"/>
      <c r="M251" s="31"/>
      <c r="N251" s="48"/>
      <c r="O251" s="49" t="e">
        <f ca="1">SUM(O252:O270)</f>
        <v>#REF!</v>
      </c>
      <c r="P251" s="49" t="e">
        <f ca="1">SUM(P252:P270)</f>
        <v>#REF!</v>
      </c>
      <c r="Q251" s="38">
        <f>AVERAGE(Q252:Q270)</f>
        <v>3</v>
      </c>
      <c r="R251" s="69" t="s">
        <v>376</v>
      </c>
      <c r="S251" s="69" t="s">
        <v>377</v>
      </c>
      <c r="T251" s="8"/>
    </row>
    <row r="252" spans="1:20" s="56" customFormat="1" outlineLevel="4">
      <c r="A252" s="43">
        <v>0</v>
      </c>
      <c r="B252" s="41" t="s">
        <v>24</v>
      </c>
      <c r="C252" s="41" t="s">
        <v>378</v>
      </c>
      <c r="D252" s="25" t="str">
        <f t="shared" si="195"/>
        <v></v>
      </c>
      <c r="E252" s="42" t="s">
        <v>373</v>
      </c>
      <c r="F252" s="43">
        <v>0</v>
      </c>
      <c r="G252" s="28">
        <f>H248</f>
        <v>45204.076388888971</v>
      </c>
      <c r="H252" s="28">
        <f t="shared" si="184"/>
        <v>45204.076388888971</v>
      </c>
      <c r="I252" s="29"/>
      <c r="J252" s="30"/>
      <c r="K252" s="31" t="s">
        <v>27</v>
      </c>
      <c r="L252" s="32">
        <v>1</v>
      </c>
      <c r="M252" s="31" t="s">
        <v>28</v>
      </c>
      <c r="N252" s="33">
        <v>101292</v>
      </c>
      <c r="O252" s="51" t="e" cm="1">
        <f t="array" aca="1" ref="O252" ca="1">IF(K252="SI",IF(N252&lt;&gt;0,(INDIRECT(M252)*N252)/L252,0),0)</f>
        <v>#REF!</v>
      </c>
      <c r="P252" s="51" t="e" cm="1">
        <f t="array" aca="1" ref="P252" ca="1">IF(N252&lt;&gt;0,(INDIRECT(M252)*N252)/L252,0)</f>
        <v>#REF!</v>
      </c>
      <c r="Q252" s="38">
        <v>3</v>
      </c>
      <c r="R252" s="8" t="s">
        <v>379</v>
      </c>
      <c r="S252" s="8" t="s">
        <v>379</v>
      </c>
      <c r="T252" s="8"/>
    </row>
    <row r="253" spans="1:20" s="56" customFormat="1" outlineLevel="4">
      <c r="A253" s="43">
        <v>0</v>
      </c>
      <c r="B253" s="41" t="s">
        <v>42</v>
      </c>
      <c r="C253" s="41" t="s">
        <v>201</v>
      </c>
      <c r="D253" s="25" t="str">
        <f t="shared" ref="D253:D270" si="196">IFERROR(VLOOKUP(C253,Todos,2,FALSE),"")</f>
        <v></v>
      </c>
      <c r="E253" s="42" t="s">
        <v>202</v>
      </c>
      <c r="F253" s="43">
        <v>60</v>
      </c>
      <c r="G253" s="28">
        <f>H252</f>
        <v>45204.076388888971</v>
      </c>
      <c r="H253" s="28">
        <f t="shared" si="184"/>
        <v>45204.118055555635</v>
      </c>
      <c r="I253" s="29"/>
      <c r="J253" s="30"/>
      <c r="K253" s="31"/>
      <c r="L253" s="32"/>
      <c r="M253" s="31"/>
      <c r="N253" s="33"/>
      <c r="O253" s="51" cm="1">
        <f t="array" aca="1" ref="O253" ca="1">IF(K253="SI",IF(N253&lt;&gt;0,(INDIRECT(M253)*N253)/L253,0),0)</f>
        <v>0</v>
      </c>
      <c r="P253" s="51" cm="1">
        <f t="array" aca="1" ref="P253" ca="1">IF(N253&lt;&gt;0,(INDIRECT(M253)*N253)/L253,0)</f>
        <v>0</v>
      </c>
      <c r="Q253" s="38">
        <v>3</v>
      </c>
      <c r="R253" s="8" t="s">
        <v>379</v>
      </c>
      <c r="S253" s="8" t="s">
        <v>379</v>
      </c>
      <c r="T253" s="8"/>
    </row>
    <row r="254" spans="1:20" s="56" customFormat="1" outlineLevel="4">
      <c r="A254" s="43">
        <v>0</v>
      </c>
      <c r="B254" s="41" t="s">
        <v>38</v>
      </c>
      <c r="C254" s="41" t="s">
        <v>39</v>
      </c>
      <c r="D254" s="25" t="str">
        <f t="shared" ref="D254:D271" si="197">IFERROR(VLOOKUP(C254,Todos,2,FALSE),"")</f>
        <v></v>
      </c>
      <c r="E254" s="42" t="s">
        <v>380</v>
      </c>
      <c r="F254" s="43">
        <v>40</v>
      </c>
      <c r="G254" s="28">
        <f t="shared" ref="G254:G270" si="198">H253</f>
        <v>45204.118055555635</v>
      </c>
      <c r="H254" s="28">
        <f t="shared" si="184"/>
        <v>45204.145833333416</v>
      </c>
      <c r="I254" s="29" t="s">
        <v>381</v>
      </c>
      <c r="J254" s="30"/>
      <c r="K254" s="31" t="s">
        <v>27</v>
      </c>
      <c r="L254" s="32">
        <v>3</v>
      </c>
      <c r="M254" s="31" t="s">
        <v>28</v>
      </c>
      <c r="N254" s="33">
        <v>61652</v>
      </c>
      <c r="O254" s="51" t="e" cm="1">
        <f t="array" aca="1" ref="O254" ca="1">IF(K254="SI",IF(N254&lt;&gt;0,(INDIRECT(M254)*N254)/L254,0),0)</f>
        <v>#REF!</v>
      </c>
      <c r="P254" s="51" t="e" cm="1">
        <f t="array" aca="1" ref="P254" ca="1">IF(N254&lt;&gt;0,(INDIRECT(M254)*N254)/L254,0)</f>
        <v>#REF!</v>
      </c>
      <c r="Q254" s="38">
        <v>3</v>
      </c>
      <c r="R254" s="8" t="s">
        <v>379</v>
      </c>
      <c r="S254" s="8" t="s">
        <v>382</v>
      </c>
      <c r="T254" s="8"/>
    </row>
    <row r="255" spans="1:20" s="56" customFormat="1" ht="31.5" outlineLevel="4">
      <c r="A255" s="43">
        <v>0</v>
      </c>
      <c r="B255" s="41" t="s">
        <v>62</v>
      </c>
      <c r="C255" s="41" t="s">
        <v>63</v>
      </c>
      <c r="D255" s="25" t="str">
        <f t="shared" ref="D255:D272" si="199">IFERROR(VLOOKUP(C255,Todos,2,FALSE),"")</f>
        <v></v>
      </c>
      <c r="E255" s="42" t="s">
        <v>383</v>
      </c>
      <c r="F255" s="43">
        <v>20</v>
      </c>
      <c r="G255" s="28">
        <f t="shared" si="198"/>
        <v>45204.145833333416</v>
      </c>
      <c r="H255" s="28">
        <f t="shared" si="184"/>
        <v>45204.159722222306</v>
      </c>
      <c r="I255" s="29" t="s">
        <v>384</v>
      </c>
      <c r="J255" s="30"/>
      <c r="K255" s="31" t="s">
        <v>58</v>
      </c>
      <c r="L255" s="32">
        <v>6</v>
      </c>
      <c r="M255" s="31" t="s">
        <v>385</v>
      </c>
      <c r="N255" s="33">
        <v>164.76</v>
      </c>
      <c r="O255" s="51" cm="1">
        <f t="array" aca="1" ref="O255" ca="1">IF(K255="SI",IF(N255&lt;&gt;0,(INDIRECT(M255)*N255)/L255,0),0)</f>
        <v>0</v>
      </c>
      <c r="P255" s="51" t="e" cm="1">
        <f t="array" aca="1" ref="P255" ca="1">IF(N255&lt;&gt;0,(INDIRECT(M255)*N255)/L255,0)</f>
        <v>#REF!</v>
      </c>
      <c r="Q255" s="38">
        <v>3</v>
      </c>
      <c r="R255" s="8" t="s">
        <v>379</v>
      </c>
      <c r="S255" s="8" t="s">
        <v>382</v>
      </c>
      <c r="T255" s="8"/>
    </row>
    <row r="256" spans="1:20" s="56" customFormat="1" hidden="1" outlineLevel="4">
      <c r="A256" s="43">
        <v>0</v>
      </c>
      <c r="B256" s="41" t="s">
        <v>24</v>
      </c>
      <c r="C256" s="41" t="s">
        <v>37</v>
      </c>
      <c r="D256" s="25" t="str">
        <f t="shared" ref="D256:D273" si="200">IFERROR(VLOOKUP(C256,Todos,2,FALSE),"")</f>
        <v></v>
      </c>
      <c r="E256" s="42" t="s">
        <v>37</v>
      </c>
      <c r="F256" s="43">
        <v>310</v>
      </c>
      <c r="G256" s="28">
        <f t="shared" si="198"/>
        <v>45204.159722222306</v>
      </c>
      <c r="H256" s="28">
        <f t="shared" si="184"/>
        <v>45204.375000000087</v>
      </c>
      <c r="I256" s="29"/>
      <c r="J256" s="30"/>
      <c r="K256" s="31"/>
      <c r="L256" s="32"/>
      <c r="M256" s="31"/>
      <c r="N256" s="33"/>
      <c r="O256" s="51" cm="1">
        <f t="array" aca="1" ref="O256" ca="1">IF(K256="SI",IF(N256&lt;&gt;0,(INDIRECT(M256)*N256)/L256,0),0)</f>
        <v>0</v>
      </c>
      <c r="P256" s="51" cm="1">
        <f t="array" aca="1" ref="P256" ca="1">IF(N256&lt;&gt;0,(INDIRECT(M256)*N256)/L256,0)</f>
        <v>0</v>
      </c>
      <c r="Q256" s="38">
        <v>3</v>
      </c>
      <c r="R256" s="8"/>
      <c r="S256" s="8"/>
      <c r="T256" s="8"/>
    </row>
    <row r="257" spans="1:20" s="56" customFormat="1" hidden="1" outlineLevel="4">
      <c r="A257" s="43">
        <v>0</v>
      </c>
      <c r="B257" s="41" t="s">
        <v>24</v>
      </c>
      <c r="C257" s="41" t="s">
        <v>25</v>
      </c>
      <c r="D257" s="25" t="str">
        <f t="shared" ref="D257:D274" si="201">IFERROR(VLOOKUP(C257,Todos,2,FALSE),"")</f>
        <v></v>
      </c>
      <c r="E257" s="42" t="s">
        <v>386</v>
      </c>
      <c r="F257" s="43">
        <v>0</v>
      </c>
      <c r="G257" s="28">
        <f t="shared" si="198"/>
        <v>45204.375000000087</v>
      </c>
      <c r="H257" s="28">
        <f t="shared" si="184"/>
        <v>45204.375000000087</v>
      </c>
      <c r="I257" s="29" t="s">
        <v>387</v>
      </c>
      <c r="J257" s="30"/>
      <c r="K257" s="31"/>
      <c r="L257" s="32"/>
      <c r="M257" s="31"/>
      <c r="N257" s="33"/>
      <c r="O257" s="51" cm="1">
        <f t="array" aca="1" ref="O257" ca="1">IF(K257="SI",IF(N257&lt;&gt;0,(INDIRECT(M257)*N257)/L257,0),0)</f>
        <v>0</v>
      </c>
      <c r="P257" s="51" cm="1">
        <f t="array" aca="1" ref="P257" ca="1">IF(N257&lt;&gt;0,(INDIRECT(M257)*N257)/L257,0)</f>
        <v>0</v>
      </c>
      <c r="Q257" s="38">
        <v>3</v>
      </c>
      <c r="R257" s="8"/>
      <c r="S257" s="8"/>
      <c r="T257" s="8"/>
    </row>
    <row r="258" spans="1:20" s="56" customFormat="1" hidden="1" outlineLevel="4">
      <c r="A258" s="43">
        <v>0</v>
      </c>
      <c r="B258" s="41" t="s">
        <v>71</v>
      </c>
      <c r="C258" s="41" t="s">
        <v>75</v>
      </c>
      <c r="D258" s="25" t="str">
        <f t="shared" ref="D258:D275" si="202">IFERROR(VLOOKUP(C258,Todos,2,FALSE),"")</f>
        <v></v>
      </c>
      <c r="E258" s="42" t="s">
        <v>75</v>
      </c>
      <c r="F258" s="43">
        <v>60</v>
      </c>
      <c r="G258" s="28">
        <f t="shared" si="198"/>
        <v>45204.375000000087</v>
      </c>
      <c r="H258" s="28">
        <f t="shared" si="184"/>
        <v>45204.416666666752</v>
      </c>
      <c r="I258" s="29" t="s">
        <v>76</v>
      </c>
      <c r="J258" s="30"/>
      <c r="K258" s="31" t="s">
        <v>27</v>
      </c>
      <c r="L258" s="32">
        <v>1</v>
      </c>
      <c r="M258" s="31" t="s">
        <v>388</v>
      </c>
      <c r="N258" s="33">
        <v>0</v>
      </c>
      <c r="O258" s="51" cm="1">
        <f t="array" aca="1" ref="O258" ca="1">IF(K258="SI",IF(N258&lt;&gt;0,(INDIRECT(M258)*N258)/L258,0),0)</f>
        <v>0</v>
      </c>
      <c r="P258" s="51" cm="1">
        <f t="array" aca="1" ref="P258" ca="1">IF(N258&lt;&gt;0,(INDIRECT(M258)*N258)/L258,0)</f>
        <v>0</v>
      </c>
      <c r="Q258" s="38">
        <v>3</v>
      </c>
      <c r="R258" s="8"/>
      <c r="S258" s="8"/>
      <c r="T258" s="8"/>
    </row>
    <row r="259" spans="1:20" s="56" customFormat="1" ht="42" customHeight="1" outlineLevel="4">
      <c r="A259" s="43">
        <v>0</v>
      </c>
      <c r="B259" s="41" t="s">
        <v>24</v>
      </c>
      <c r="C259" s="41" t="s">
        <v>83</v>
      </c>
      <c r="D259" s="25" t="str">
        <f t="shared" ref="D259:D276" si="203">IFERROR(VLOOKUP(C259,Todos,2,FALSE),"")</f>
        <v></v>
      </c>
      <c r="E259" s="42" t="s">
        <v>389</v>
      </c>
      <c r="F259" s="43">
        <v>420</v>
      </c>
      <c r="G259" s="28">
        <f t="shared" si="198"/>
        <v>45204.416666666752</v>
      </c>
      <c r="H259" s="28">
        <f t="shared" si="184"/>
        <v>45204.708333333416</v>
      </c>
      <c r="I259" s="29" t="s">
        <v>390</v>
      </c>
      <c r="J259" s="30"/>
      <c r="K259" s="31" t="s">
        <v>27</v>
      </c>
      <c r="L259" s="32">
        <v>6</v>
      </c>
      <c r="M259" s="31" t="s">
        <v>28</v>
      </c>
      <c r="N259" s="33">
        <v>505064</v>
      </c>
      <c r="O259" s="51" t="e" cm="1">
        <f t="array" aca="1" ref="O259" ca="1">IF(K259="SI",IF(N259&lt;&gt;0,(INDIRECT(M259)*N259)/L259,0),0)</f>
        <v>#REF!</v>
      </c>
      <c r="P259" s="51" t="e" cm="1">
        <f t="array" aca="1" ref="P259" ca="1">IF(N259&lt;&gt;0,(INDIRECT(M259)*N259)/L259,0)</f>
        <v>#REF!</v>
      </c>
      <c r="Q259" s="38">
        <v>3</v>
      </c>
      <c r="R259" s="57" t="s">
        <v>391</v>
      </c>
      <c r="S259" s="58" t="s">
        <v>391</v>
      </c>
      <c r="T259" s="8"/>
    </row>
    <row r="260" spans="1:20" s="56" customFormat="1" ht="21" outlineLevel="4">
      <c r="A260" s="43">
        <v>0</v>
      </c>
      <c r="B260" s="41" t="s">
        <v>62</v>
      </c>
      <c r="C260" s="41" t="s">
        <v>102</v>
      </c>
      <c r="D260" s="25" t="str">
        <f t="shared" ref="D260:D277" si="204">IFERROR(VLOOKUP(C260,Todos,2,FALSE),"")</f>
        <v></v>
      </c>
      <c r="E260" s="42" t="s">
        <v>392</v>
      </c>
      <c r="F260" s="43">
        <v>0</v>
      </c>
      <c r="G260" s="28">
        <f t="shared" si="198"/>
        <v>45204.708333333416</v>
      </c>
      <c r="H260" s="28">
        <f t="shared" si="184"/>
        <v>45204.708333333416</v>
      </c>
      <c r="I260" s="29" t="s">
        <v>393</v>
      </c>
      <c r="J260" s="30">
        <v>2</v>
      </c>
      <c r="K260" s="31" t="s">
        <v>58</v>
      </c>
      <c r="L260" s="32">
        <v>1</v>
      </c>
      <c r="M260" s="31" t="s">
        <v>388</v>
      </c>
      <c r="N260" s="33">
        <v>240</v>
      </c>
      <c r="O260" s="51" cm="1">
        <f t="array" aca="1" ref="O260" ca="1">IF(K260="SI",IF(N260&lt;&gt;0,(INDIRECT(M260)*N260)/L260,0),0)</f>
        <v>0</v>
      </c>
      <c r="P260" s="51" t="e" cm="1">
        <f t="array" aca="1" ref="P260" ca="1">IF(N260&lt;&gt;0,(INDIRECT(M260)*N260)/L260,0)</f>
        <v>#REF!</v>
      </c>
      <c r="Q260" s="38">
        <v>3</v>
      </c>
      <c r="R260" s="57"/>
      <c r="S260" s="58"/>
      <c r="T260" s="8"/>
    </row>
    <row r="261" spans="1:20" s="56" customFormat="1" outlineLevel="4">
      <c r="A261" s="43">
        <v>0</v>
      </c>
      <c r="B261" s="41" t="s">
        <v>24</v>
      </c>
      <c r="C261" s="41" t="s">
        <v>31</v>
      </c>
      <c r="D261" s="25" t="str">
        <f>IFERROR(VLOOKUP(C261,Todos,2,FALSE),"")</f>
        <v></v>
      </c>
      <c r="E261" s="42" t="s">
        <v>394</v>
      </c>
      <c r="F261" s="43">
        <v>0</v>
      </c>
      <c r="G261" s="28">
        <f t="shared" si="198"/>
        <v>45204.708333333416</v>
      </c>
      <c r="H261" s="28">
        <f t="shared" si="184"/>
        <v>45204.708333333416</v>
      </c>
      <c r="I261" s="29" t="s">
        <v>395</v>
      </c>
      <c r="J261" s="30"/>
      <c r="K261" s="31"/>
      <c r="L261" s="32"/>
      <c r="M261" s="31"/>
      <c r="N261" s="33"/>
      <c r="O261" s="51" cm="1">
        <f t="array" aca="1" ref="O261" ca="1">IF(K261="SI",IF(N261&lt;&gt;0,(INDIRECT(M261)*N261)/L261,0),0)</f>
        <v>0</v>
      </c>
      <c r="P261" s="51" cm="1">
        <f t="array" aca="1" ref="P261" ca="1">IF(N261&lt;&gt;0,(INDIRECT(M261)*N261)/L261,0)</f>
        <v>0</v>
      </c>
      <c r="Q261" s="38">
        <v>3</v>
      </c>
      <c r="R261" s="57"/>
      <c r="S261" s="58"/>
      <c r="T261" s="8"/>
    </row>
    <row r="262" spans="1:20" s="56" customFormat="1" outlineLevel="4">
      <c r="A262" s="43">
        <v>0</v>
      </c>
      <c r="B262" s="41" t="s">
        <v>71</v>
      </c>
      <c r="C262" s="41" t="s">
        <v>95</v>
      </c>
      <c r="D262" s="25" t="str">
        <f t="shared" ref="D262:D342" si="205">IFERROR(VLOOKUP(C262,Todos,2,FALSE),"")</f>
        <v></v>
      </c>
      <c r="E262" s="42" t="s">
        <v>396</v>
      </c>
      <c r="F262" s="43">
        <v>0</v>
      </c>
      <c r="G262" s="28">
        <f t="shared" si="198"/>
        <v>45204.708333333416</v>
      </c>
      <c r="H262" s="28">
        <f t="shared" si="184"/>
        <v>45204.708333333416</v>
      </c>
      <c r="I262" s="29" t="s">
        <v>397</v>
      </c>
      <c r="J262" s="30"/>
      <c r="K262" s="31" t="s">
        <v>58</v>
      </c>
      <c r="L262" s="32">
        <v>1</v>
      </c>
      <c r="M262" s="31" t="s">
        <v>388</v>
      </c>
      <c r="N262" s="33">
        <v>200</v>
      </c>
      <c r="O262" s="51" cm="1">
        <f t="array" aca="1" ref="O262" ca="1">IF(K262="SI",IF(N262&lt;&gt;0,(INDIRECT(M262)*N262)/L262,0),0)</f>
        <v>0</v>
      </c>
      <c r="P262" s="51" t="e" cm="1">
        <f t="array" aca="1" ref="P262" ca="1">IF(N262&lt;&gt;0,(INDIRECT(M262)*N262)/L262,0)</f>
        <v>#REF!</v>
      </c>
      <c r="Q262" s="38">
        <v>3</v>
      </c>
      <c r="R262" s="57"/>
      <c r="S262" s="58"/>
      <c r="T262" s="8"/>
    </row>
    <row r="263" spans="1:20" s="56" customFormat="1" ht="21" outlineLevel="4">
      <c r="A263" s="43">
        <v>0</v>
      </c>
      <c r="B263" s="41" t="s">
        <v>62</v>
      </c>
      <c r="C263" s="41" t="s">
        <v>119</v>
      </c>
      <c r="D263" s="25" t="str">
        <f t="shared" ref="D263:D343" si="206">IFERROR(VLOOKUP(C263,Todos,2,FALSE),"")</f>
        <v></v>
      </c>
      <c r="E263" s="42" t="s">
        <v>398</v>
      </c>
      <c r="F263" s="43">
        <v>0</v>
      </c>
      <c r="G263" s="28">
        <f t="shared" si="198"/>
        <v>45204.708333333416</v>
      </c>
      <c r="H263" s="28">
        <f t="shared" si="184"/>
        <v>45204.708333333416</v>
      </c>
      <c r="I263" s="29" t="s">
        <v>399</v>
      </c>
      <c r="J263" s="30">
        <v>0.2</v>
      </c>
      <c r="K263" s="31" t="s">
        <v>27</v>
      </c>
      <c r="L263" s="32">
        <v>1</v>
      </c>
      <c r="M263" s="31" t="s">
        <v>388</v>
      </c>
      <c r="N263" s="33">
        <v>0</v>
      </c>
      <c r="O263" s="51" cm="1">
        <f t="array" aca="1" ref="O263" ca="1">IF(K263="SI",IF(N263&lt;&gt;0,(INDIRECT(M263)*N263)/L263,0),0)</f>
        <v>0</v>
      </c>
      <c r="P263" s="51" cm="1">
        <f t="array" aca="1" ref="P263" ca="1">IF(N263&lt;&gt;0,(INDIRECT(M263)*N263)/L263,0)</f>
        <v>0</v>
      </c>
      <c r="Q263" s="38">
        <v>3</v>
      </c>
      <c r="R263" s="57"/>
      <c r="S263" s="58"/>
      <c r="T263" s="8"/>
    </row>
    <row r="264" spans="1:20" s="56" customFormat="1" ht="21" outlineLevel="4">
      <c r="A264" s="43">
        <v>0</v>
      </c>
      <c r="B264" s="41" t="s">
        <v>62</v>
      </c>
      <c r="C264" s="41" t="s">
        <v>119</v>
      </c>
      <c r="D264" s="25" t="str">
        <f t="shared" ref="D264:D344" si="207">IFERROR(VLOOKUP(C264,Todos,2,FALSE),"")</f>
        <v></v>
      </c>
      <c r="E264" s="42" t="s">
        <v>400</v>
      </c>
      <c r="F264" s="43">
        <v>0</v>
      </c>
      <c r="G264" s="28">
        <f t="shared" si="198"/>
        <v>45204.708333333416</v>
      </c>
      <c r="H264" s="28">
        <f t="shared" si="184"/>
        <v>45204.708333333416</v>
      </c>
      <c r="I264" s="29" t="s">
        <v>401</v>
      </c>
      <c r="J264" s="30">
        <v>0.2</v>
      </c>
      <c r="K264" s="31" t="s">
        <v>27</v>
      </c>
      <c r="L264" s="32">
        <v>1</v>
      </c>
      <c r="M264" s="31" t="s">
        <v>388</v>
      </c>
      <c r="N264" s="33">
        <v>0</v>
      </c>
      <c r="O264" s="51" cm="1">
        <f t="array" aca="1" ref="O264" ca="1">IF(K264="SI",IF(N264&lt;&gt;0,(INDIRECT(M264)*N264)/L264,0),0)</f>
        <v>0</v>
      </c>
      <c r="P264" s="51" cm="1">
        <f t="array" aca="1" ref="P264" ca="1">IF(N264&lt;&gt;0,(INDIRECT(M264)*N264)/L264,0)</f>
        <v>0</v>
      </c>
      <c r="Q264" s="38">
        <v>3</v>
      </c>
      <c r="R264" s="57"/>
      <c r="S264" s="58"/>
      <c r="T264" s="8"/>
    </row>
    <row r="265" spans="1:20" s="56" customFormat="1" ht="21" outlineLevel="4">
      <c r="A265" s="43">
        <v>0</v>
      </c>
      <c r="B265" s="41" t="s">
        <v>62</v>
      </c>
      <c r="C265" s="41" t="s">
        <v>119</v>
      </c>
      <c r="D265" s="25" t="str">
        <f t="shared" ref="D265:D345" si="208">IFERROR(VLOOKUP(C265,Todos,2,FALSE),"")</f>
        <v></v>
      </c>
      <c r="E265" s="42" t="s">
        <v>402</v>
      </c>
      <c r="F265" s="43">
        <v>0</v>
      </c>
      <c r="G265" s="28">
        <f t="shared" si="198"/>
        <v>45204.708333333416</v>
      </c>
      <c r="H265" s="28">
        <f t="shared" si="184"/>
        <v>45204.708333333416</v>
      </c>
      <c r="I265" s="29" t="s">
        <v>403</v>
      </c>
      <c r="J265" s="30">
        <v>0.2</v>
      </c>
      <c r="K265" s="31" t="s">
        <v>27</v>
      </c>
      <c r="L265" s="32">
        <v>1</v>
      </c>
      <c r="M265" s="31" t="s">
        <v>388</v>
      </c>
      <c r="N265" s="33">
        <v>0</v>
      </c>
      <c r="O265" s="51" cm="1">
        <f t="array" aca="1" ref="O265" ca="1">IF(K265="SI",IF(N265&lt;&gt;0,(INDIRECT(M265)*N265)/L265,0),0)</f>
        <v>0</v>
      </c>
      <c r="P265" s="51" cm="1">
        <f t="array" aca="1" ref="P265" ca="1">IF(N265&lt;&gt;0,(INDIRECT(M265)*N265)/L265,0)</f>
        <v>0</v>
      </c>
      <c r="Q265" s="38">
        <v>3</v>
      </c>
      <c r="R265" s="57"/>
      <c r="S265" s="58"/>
      <c r="T265" s="8"/>
    </row>
    <row r="266" spans="1:20" s="56" customFormat="1" ht="21" outlineLevel="4">
      <c r="A266" s="43">
        <v>0</v>
      </c>
      <c r="B266" s="41" t="s">
        <v>62</v>
      </c>
      <c r="C266" s="41" t="s">
        <v>119</v>
      </c>
      <c r="D266" s="25" t="str">
        <f t="shared" ref="D266:D346" si="209">IFERROR(VLOOKUP(C266,Todos,2,FALSE),"")</f>
        <v></v>
      </c>
      <c r="E266" s="42" t="s">
        <v>404</v>
      </c>
      <c r="F266" s="43">
        <v>0</v>
      </c>
      <c r="G266" s="28">
        <f t="shared" si="198"/>
        <v>45204.708333333416</v>
      </c>
      <c r="H266" s="28">
        <f t="shared" si="184"/>
        <v>45204.708333333416</v>
      </c>
      <c r="I266" s="29" t="s">
        <v>405</v>
      </c>
      <c r="J266" s="30">
        <v>0.2</v>
      </c>
      <c r="K266" s="31" t="s">
        <v>27</v>
      </c>
      <c r="L266" s="32">
        <v>1</v>
      </c>
      <c r="M266" s="31" t="s">
        <v>388</v>
      </c>
      <c r="N266" s="33">
        <v>0</v>
      </c>
      <c r="O266" s="51" cm="1">
        <f t="array" aca="1" ref="O266" ca="1">IF(K266="SI",IF(N266&lt;&gt;0,(INDIRECT(M266)*N266)/L266,0),0)</f>
        <v>0</v>
      </c>
      <c r="P266" s="51" cm="1">
        <f t="array" aca="1" ref="P266" ca="1">IF(N266&lt;&gt;0,(INDIRECT(M266)*N266)/L266,0)</f>
        <v>0</v>
      </c>
      <c r="Q266" s="38">
        <v>3</v>
      </c>
      <c r="R266" s="57"/>
      <c r="S266" s="58"/>
      <c r="T266" s="8"/>
    </row>
    <row r="267" spans="1:20" s="56" customFormat="1" ht="21" outlineLevel="4">
      <c r="A267" s="43">
        <v>0</v>
      </c>
      <c r="B267" s="41" t="s">
        <v>62</v>
      </c>
      <c r="C267" s="41" t="s">
        <v>119</v>
      </c>
      <c r="D267" s="25" t="str">
        <f t="shared" ref="D267:D347" si="210">IFERROR(VLOOKUP(C267,Todos,2,FALSE),"")</f>
        <v></v>
      </c>
      <c r="E267" s="42" t="s">
        <v>406</v>
      </c>
      <c r="F267" s="43">
        <v>0</v>
      </c>
      <c r="G267" s="28">
        <f t="shared" si="198"/>
        <v>45204.708333333416</v>
      </c>
      <c r="H267" s="28">
        <f t="shared" si="184"/>
        <v>45204.708333333416</v>
      </c>
      <c r="I267" s="29" t="s">
        <v>407</v>
      </c>
      <c r="J267" s="30">
        <v>0.2</v>
      </c>
      <c r="K267" s="31" t="s">
        <v>27</v>
      </c>
      <c r="L267" s="32">
        <v>1</v>
      </c>
      <c r="M267" s="31" t="s">
        <v>388</v>
      </c>
      <c r="N267" s="33">
        <v>0</v>
      </c>
      <c r="O267" s="51" cm="1">
        <f t="array" aca="1" ref="O267" ca="1">IF(K267="SI",IF(N267&lt;&gt;0,(INDIRECT(M267)*N267)/L267,0),0)</f>
        <v>0</v>
      </c>
      <c r="P267" s="51" cm="1">
        <f t="array" aca="1" ref="P267" ca="1">IF(N267&lt;&gt;0,(INDIRECT(M267)*N267)/L267,0)</f>
        <v>0</v>
      </c>
      <c r="Q267" s="38">
        <v>3</v>
      </c>
      <c r="R267" s="57"/>
      <c r="S267" s="58"/>
      <c r="T267" s="8"/>
    </row>
    <row r="268" spans="1:20" s="56" customFormat="1" outlineLevel="4">
      <c r="A268" s="43">
        <v>0</v>
      </c>
      <c r="B268" s="41" t="s">
        <v>24</v>
      </c>
      <c r="C268" s="41" t="s">
        <v>191</v>
      </c>
      <c r="D268" s="25" t="str">
        <f t="shared" ref="D268:D348" si="211">IFERROR(VLOOKUP(C268,Todos,2,FALSE),"")</f>
        <v></v>
      </c>
      <c r="E268" s="42" t="s">
        <v>408</v>
      </c>
      <c r="F268" s="43">
        <v>15</v>
      </c>
      <c r="G268" s="28">
        <f t="shared" si="198"/>
        <v>45204.708333333416</v>
      </c>
      <c r="H268" s="28">
        <f t="shared" si="184"/>
        <v>45204.71875000008</v>
      </c>
      <c r="I268" s="29"/>
      <c r="J268" s="30"/>
      <c r="K268" s="31"/>
      <c r="L268" s="32"/>
      <c r="M268" s="31"/>
      <c r="N268" s="33"/>
      <c r="O268" s="51" cm="1">
        <f t="array" aca="1" ref="O268" ca="1">IF(K268="SI",IF(N268&lt;&gt;0,(INDIRECT(M268)*N268)/L268,0),0)</f>
        <v>0</v>
      </c>
      <c r="P268" s="51" cm="1">
        <f t="array" aca="1" ref="P268" ca="1">IF(N268&lt;&gt;0,(INDIRECT(M268)*N268)/L268,0)</f>
        <v>0</v>
      </c>
      <c r="Q268" s="38">
        <v>3</v>
      </c>
      <c r="R268" s="57"/>
      <c r="S268" s="58"/>
      <c r="T268" s="8"/>
    </row>
    <row r="269" spans="1:20" s="56" customFormat="1" outlineLevel="4">
      <c r="A269" s="43">
        <v>0</v>
      </c>
      <c r="B269" s="41" t="s">
        <v>38</v>
      </c>
      <c r="C269" s="41" t="s">
        <v>39</v>
      </c>
      <c r="D269" s="25" t="str">
        <f t="shared" ref="D269:D349" si="212">IFERROR(VLOOKUP(C269,Todos,2,FALSE),"")</f>
        <v></v>
      </c>
      <c r="E269" s="42" t="s">
        <v>409</v>
      </c>
      <c r="F269" s="43">
        <v>60</v>
      </c>
      <c r="G269" s="28">
        <f t="shared" si="198"/>
        <v>45204.71875000008</v>
      </c>
      <c r="H269" s="28">
        <f t="shared" si="184"/>
        <v>45204.760416666744</v>
      </c>
      <c r="I269" s="29" t="s">
        <v>255</v>
      </c>
      <c r="J269" s="30"/>
      <c r="K269" s="31" t="s">
        <v>27</v>
      </c>
      <c r="L269" s="32">
        <v>1</v>
      </c>
      <c r="M269" s="31" t="s">
        <v>388</v>
      </c>
      <c r="N269" s="33">
        <v>0</v>
      </c>
      <c r="O269" s="51" cm="1">
        <f t="array" aca="1" ref="O269" ca="1">IF(K269="SI",IF(N269&lt;&gt;0,(INDIRECT(M269)*N269)/L269,0),0)</f>
        <v>0</v>
      </c>
      <c r="P269" s="51" cm="1">
        <f t="array" aca="1" ref="P269" ca="1">IF(N269&lt;&gt;0,(INDIRECT(M269)*N269)/L269,0)</f>
        <v>0</v>
      </c>
      <c r="Q269" s="38">
        <v>3</v>
      </c>
      <c r="R269" s="57"/>
      <c r="S269" s="58"/>
      <c r="T269" s="8"/>
    </row>
    <row r="270" spans="1:20" s="56" customFormat="1" outlineLevel="4">
      <c r="A270" s="43">
        <v>0</v>
      </c>
      <c r="B270" s="41" t="s">
        <v>42</v>
      </c>
      <c r="C270" s="41" t="s">
        <v>281</v>
      </c>
      <c r="D270" s="25" t="str">
        <f t="shared" ref="D270:D350" si="213">IFERROR(VLOOKUP(C270,Todos,2,FALSE),"")</f>
        <v></v>
      </c>
      <c r="E270" s="42" t="s">
        <v>410</v>
      </c>
      <c r="F270" s="43">
        <v>90</v>
      </c>
      <c r="G270" s="28">
        <f t="shared" si="198"/>
        <v>45204.760416666744</v>
      </c>
      <c r="H270" s="28">
        <f t="shared" si="184"/>
        <v>45204.822916666744</v>
      </c>
      <c r="I270" s="29" t="s">
        <v>411</v>
      </c>
      <c r="J270" s="30"/>
      <c r="K270" s="31"/>
      <c r="L270" s="32"/>
      <c r="M270" s="31"/>
      <c r="N270" s="33"/>
      <c r="O270" s="51" cm="1">
        <f t="array" aca="1" ref="O270" ca="1">IF(K270="SI",IF(N270&lt;&gt;0,(INDIRECT(M270)*N270)/L270,0),0)</f>
        <v>0</v>
      </c>
      <c r="P270" s="51" cm="1">
        <f t="array" aca="1" ref="P270" ca="1">IF(N270&lt;&gt;0,(INDIRECT(M270)*N270)/L270,0)</f>
        <v>0</v>
      </c>
      <c r="Q270" s="38">
        <v>3</v>
      </c>
      <c r="R270" s="8"/>
      <c r="S270" s="8"/>
      <c r="T270" s="8"/>
    </row>
    <row r="271" spans="1:20" s="56" customFormat="1" ht="42" outlineLevel="2">
      <c r="A271" s="43">
        <v>2</v>
      </c>
      <c r="B271" s="41" t="s">
        <v>38</v>
      </c>
      <c r="C271" s="41" t="s">
        <v>46</v>
      </c>
      <c r="D271" s="25" t="str">
        <f t="shared" ref="D271:D351" si="214">IFERROR(VLOOKUP(C271,Todos,2,FALSE),"")</f>
        <v></v>
      </c>
      <c r="E271" s="42" t="s">
        <v>412</v>
      </c>
      <c r="F271" s="43">
        <v>80</v>
      </c>
      <c r="G271" s="28">
        <f>H270</f>
        <v>45204.822916666744</v>
      </c>
      <c r="H271" s="28">
        <f t="shared" si="184"/>
        <v>45204.878472222299</v>
      </c>
      <c r="I271" s="29" t="s">
        <v>413</v>
      </c>
      <c r="J271" s="30"/>
      <c r="K271" s="31" t="s">
        <v>27</v>
      </c>
      <c r="L271" s="32">
        <v>6</v>
      </c>
      <c r="M271" s="31" t="s">
        <v>28</v>
      </c>
      <c r="N271" s="33">
        <v>2569006</v>
      </c>
      <c r="O271" s="51" t="e" cm="1">
        <f t="array" aca="1" ref="O271" ca="1">IF(K271="SI",IF(N271&lt;&gt;0,(INDIRECT(M271)*N271)/L271,0),0)</f>
        <v>#REF!</v>
      </c>
      <c r="P271" s="51" t="e" cm="1">
        <f t="array" aca="1" ref="P271" ca="1">IF(N271&lt;&gt;0,(INDIRECT(M271)*N271)/L271,0)</f>
        <v>#REF!</v>
      </c>
      <c r="Q271" s="38">
        <v>3</v>
      </c>
      <c r="R271" s="8" t="s">
        <v>379</v>
      </c>
      <c r="S271" s="8" t="s">
        <v>379</v>
      </c>
      <c r="T271" s="8"/>
    </row>
    <row r="272" spans="1:20" s="56" customFormat="1" outlineLevel="2">
      <c r="A272" s="43">
        <v>0</v>
      </c>
      <c r="B272" s="41" t="s">
        <v>15</v>
      </c>
      <c r="C272" s="41" t="s">
        <v>20</v>
      </c>
      <c r="D272" s="25" t="str">
        <f t="shared" ref="D272:D352" si="215">IFERROR(VLOOKUP(C272,Todos,2,FALSE),"")</f>
        <v></v>
      </c>
      <c r="E272" s="42" t="s">
        <v>414</v>
      </c>
      <c r="F272" s="43">
        <f>F273+F278+F291+F299</f>
        <v>4495</v>
      </c>
      <c r="G272" s="28">
        <f>H271</f>
        <v>45204.878472222299</v>
      </c>
      <c r="H272" s="28">
        <f t="shared" si="184"/>
        <v>45208.00000000008</v>
      </c>
      <c r="I272" s="29" t="str">
        <f>PROPER(TEXT(G272,"dddd")) &amp; " - Días Totales: " &amp; ROUND(F272/1440,0)</f>
        <v>Jueves - Días Totales: 3</v>
      </c>
      <c r="J272" s="30">
        <f>J273+J278+J291+J299</f>
        <v>0</v>
      </c>
      <c r="K272" s="31"/>
      <c r="L272" s="32"/>
      <c r="M272" s="31"/>
      <c r="N272" s="33"/>
      <c r="O272" s="51" t="e">
        <f ca="1">O273+O278+O291+O299</f>
        <v>#REF!</v>
      </c>
      <c r="P272" s="51" t="e">
        <f ca="1">P273+P278+P291+P299</f>
        <v>#REF!</v>
      </c>
      <c r="Q272" s="38">
        <f>AVERAGE(Q273,Q278,Q291,Q299)</f>
        <v>3</v>
      </c>
      <c r="R272" s="8"/>
      <c r="S272" s="8"/>
      <c r="T272" s="8"/>
    </row>
    <row r="273" spans="1:20" s="56" customFormat="1" outlineLevel="3">
      <c r="A273" s="43">
        <v>0</v>
      </c>
      <c r="B273" s="41" t="s">
        <v>15</v>
      </c>
      <c r="C273" s="41" t="s">
        <v>22</v>
      </c>
      <c r="D273" s="25" t="str">
        <f t="shared" si="215"/>
        <v></v>
      </c>
      <c r="E273" s="55" t="s">
        <v>415</v>
      </c>
      <c r="F273" s="43">
        <f>SUM(F274:F277)</f>
        <v>175</v>
      </c>
      <c r="G273" s="28">
        <f>H271</f>
        <v>45204.878472222299</v>
      </c>
      <c r="H273" s="28">
        <f t="shared" si="184"/>
        <v>45205.00000000008</v>
      </c>
      <c r="I273" s="29" t="str">
        <f>PROPER(TEXT(G273,"dddd"))</f>
        <v>Jueves</v>
      </c>
      <c r="J273" s="30">
        <f>SUM(J274:J277)</f>
        <v>0</v>
      </c>
      <c r="K273" s="31"/>
      <c r="L273" s="32"/>
      <c r="M273" s="31"/>
      <c r="N273" s="33"/>
      <c r="O273" s="49" t="e">
        <f ca="1">SUM(O274:O277)</f>
        <v>#REF!</v>
      </c>
      <c r="P273" s="49" t="e">
        <f ca="1">SUM(P274:P277)</f>
        <v>#REF!</v>
      </c>
      <c r="Q273" s="38">
        <f>AVERAGE(Q274:Q277)</f>
        <v>3</v>
      </c>
      <c r="R273" s="8"/>
      <c r="S273" s="8"/>
      <c r="T273" s="8"/>
    </row>
    <row r="274" spans="1:20" s="56" customFormat="1" outlineLevel="4">
      <c r="A274" s="43">
        <v>0</v>
      </c>
      <c r="B274" s="41" t="s">
        <v>42</v>
      </c>
      <c r="C274" s="41" t="s">
        <v>288</v>
      </c>
      <c r="D274" s="25" t="str">
        <f t="shared" si="215"/>
        <v></v>
      </c>
      <c r="E274" s="42" t="s">
        <v>288</v>
      </c>
      <c r="F274" s="43">
        <v>30</v>
      </c>
      <c r="G274" s="28">
        <f>H271</f>
        <v>45204.878472222299</v>
      </c>
      <c r="H274" s="28">
        <f t="shared" si="184"/>
        <v>45204.899305555635</v>
      </c>
      <c r="I274" s="29"/>
      <c r="J274" s="30"/>
      <c r="K274" s="31"/>
      <c r="L274" s="32"/>
      <c r="M274" s="31"/>
      <c r="N274" s="33"/>
      <c r="O274" s="51" cm="1">
        <f t="array" aca="1" ref="O274" ca="1">IF(K274="SI",IF(N274&lt;&gt;0,(INDIRECT(M274)*N274)/L274,0),0)</f>
        <v>0</v>
      </c>
      <c r="P274" s="51" cm="1">
        <f t="array" aca="1" ref="P274" ca="1">IF(N274&lt;&gt;0,(INDIRECT(M274)*N274)/L274,0)</f>
        <v>0</v>
      </c>
      <c r="Q274" s="38">
        <v>3</v>
      </c>
      <c r="R274" s="8"/>
      <c r="S274" s="8"/>
      <c r="T274" s="8"/>
    </row>
    <row r="275" spans="1:20" s="56" customFormat="1" outlineLevel="4">
      <c r="A275" s="43">
        <v>0</v>
      </c>
      <c r="B275" s="41" t="s">
        <v>38</v>
      </c>
      <c r="C275" s="41" t="s">
        <v>39</v>
      </c>
      <c r="D275" s="25" t="str">
        <f t="shared" ref="D275:D355" si="216">IFERROR(VLOOKUP(C275,Todos,2,FALSE),"")</f>
        <v></v>
      </c>
      <c r="E275" s="42" t="s">
        <v>203</v>
      </c>
      <c r="F275" s="43">
        <v>65</v>
      </c>
      <c r="G275" s="28">
        <f>H274</f>
        <v>45204.899305555635</v>
      </c>
      <c r="H275" s="28">
        <f t="shared" si="184"/>
        <v>45204.944444444525</v>
      </c>
      <c r="I275" s="29" t="s">
        <v>416</v>
      </c>
      <c r="J275" s="30"/>
      <c r="K275" s="31" t="s">
        <v>58</v>
      </c>
      <c r="L275" s="32">
        <v>1</v>
      </c>
      <c r="M275" s="31" t="s">
        <v>388</v>
      </c>
      <c r="N275" s="33">
        <v>134</v>
      </c>
      <c r="O275" s="51" cm="1">
        <f t="array" aca="1" ref="O275" ca="1">IF(K275="SI",IF(N275&lt;&gt;0,(INDIRECT(M275)*N275)/L275,0),0)</f>
        <v>0</v>
      </c>
      <c r="P275" s="51" t="e" cm="1">
        <f t="array" aca="1" ref="P275" ca="1">IF(N275&lt;&gt;0,(INDIRECT(M275)*N275)/L275,0)</f>
        <v>#REF!</v>
      </c>
      <c r="Q275" s="38">
        <v>3</v>
      </c>
      <c r="R275" s="8" t="s">
        <v>379</v>
      </c>
      <c r="S275" s="8" t="s">
        <v>382</v>
      </c>
      <c r="T275" s="8"/>
    </row>
    <row r="276" spans="1:20" s="56" customFormat="1" ht="31.5" outlineLevel="4">
      <c r="A276" s="43">
        <v>0</v>
      </c>
      <c r="B276" s="41" t="s">
        <v>62</v>
      </c>
      <c r="C276" s="41" t="s">
        <v>63</v>
      </c>
      <c r="D276" s="25" t="str">
        <f t="shared" ref="D276:D356" si="217">IFERROR(VLOOKUP(C276,Todos,2,FALSE),"")</f>
        <v></v>
      </c>
      <c r="E276" s="42" t="s">
        <v>417</v>
      </c>
      <c r="F276" s="43">
        <v>20</v>
      </c>
      <c r="G276" s="28">
        <f>H275</f>
        <v>45204.944444444525</v>
      </c>
      <c r="H276" s="28">
        <f t="shared" si="184"/>
        <v>45204.958333333416</v>
      </c>
      <c r="I276" s="29" t="s">
        <v>418</v>
      </c>
      <c r="J276" s="30"/>
      <c r="K276" s="31" t="s">
        <v>27</v>
      </c>
      <c r="L276" s="32">
        <v>6</v>
      </c>
      <c r="M276" s="31" t="s">
        <v>28</v>
      </c>
      <c r="N276" s="33">
        <v>506373</v>
      </c>
      <c r="O276" s="51" t="e" cm="1">
        <f t="array" aca="1" ref="O276" ca="1">IF(K276="SI",IF(N276&lt;&gt;0,(INDIRECT(M276)*N276)/L276,0),0)</f>
        <v>#REF!</v>
      </c>
      <c r="P276" s="51" t="e" cm="1">
        <f t="array" aca="1" ref="P276" ca="1">IF(N276&lt;&gt;0,(INDIRECT(M276)*N276)/L276,0)</f>
        <v>#REF!</v>
      </c>
      <c r="Q276" s="38">
        <v>3</v>
      </c>
      <c r="R276" s="8" t="s">
        <v>379</v>
      </c>
      <c r="S276" s="8" t="s">
        <v>382</v>
      </c>
      <c r="T276" s="8"/>
    </row>
    <row r="277" spans="1:20" s="56" customFormat="1" outlineLevel="4">
      <c r="A277" s="43">
        <v>0</v>
      </c>
      <c r="B277" s="41" t="s">
        <v>24</v>
      </c>
      <c r="C277" s="41" t="s">
        <v>37</v>
      </c>
      <c r="D277" s="25" t="str">
        <f t="shared" ref="D277:D357" si="218">IFERROR(VLOOKUP(C277,Todos,2,FALSE),"")</f>
        <v></v>
      </c>
      <c r="E277" s="42" t="s">
        <v>37</v>
      </c>
      <c r="F277" s="43">
        <v>60</v>
      </c>
      <c r="G277" s="28">
        <f>H276</f>
        <v>45204.958333333416</v>
      </c>
      <c r="H277" s="28">
        <f t="shared" si="184"/>
        <v>45205.00000000008</v>
      </c>
      <c r="I277" s="29"/>
      <c r="J277" s="30"/>
      <c r="K277" s="31"/>
      <c r="L277" s="32"/>
      <c r="M277" s="31"/>
      <c r="N277" s="33"/>
      <c r="O277" s="49" cm="1">
        <f t="array" aca="1" ref="O277" ca="1">IF(K277="SI",IF(N277&lt;&gt;0,(INDIRECT(M277)*N277)/L277,0),0)</f>
        <v>0</v>
      </c>
      <c r="P277" s="49" cm="1">
        <f t="array" aca="1" ref="P277" ca="1">IF(N277&lt;&gt;0,(INDIRECT(M277)*N277)/L277,0)</f>
        <v>0</v>
      </c>
      <c r="Q277" s="38">
        <v>3</v>
      </c>
      <c r="R277" s="8"/>
      <c r="S277" s="8"/>
      <c r="T277" s="8"/>
    </row>
    <row r="278" spans="1:20" s="56" customFormat="1" ht="14.5" customHeight="1" outlineLevel="3">
      <c r="A278" s="43">
        <v>0</v>
      </c>
      <c r="B278" s="41" t="s">
        <v>15</v>
      </c>
      <c r="C278" s="41" t="s">
        <v>22</v>
      </c>
      <c r="D278" s="25" t="str">
        <f t="shared" ref="D278:D358" si="219">IFERROR(VLOOKUP(C278,Todos,2,FALSE),"")</f>
        <v></v>
      </c>
      <c r="E278" s="55" t="s">
        <v>419</v>
      </c>
      <c r="F278" s="43">
        <f>SUM(F279:F290)</f>
        <v>1440</v>
      </c>
      <c r="G278" s="28">
        <f>H277</f>
        <v>45205.00000000008</v>
      </c>
      <c r="H278" s="28">
        <f t="shared" si="184"/>
        <v>45206.00000000008</v>
      </c>
      <c r="I278" s="29" t="str">
        <f>PROPER(TEXT(G278,"dddd"))</f>
        <v>Viernes</v>
      </c>
      <c r="J278" s="30">
        <f>SUM(J279:J290)</f>
        <v>0</v>
      </c>
      <c r="K278" s="31"/>
      <c r="L278" s="32"/>
      <c r="M278" s="31"/>
      <c r="N278" s="33"/>
      <c r="O278" s="49" t="e">
        <f ca="1">SUM(O279:O290)</f>
        <v>#REF!</v>
      </c>
      <c r="P278" s="49" t="e">
        <f ca="1">SUM(P279:P290)</f>
        <v>#REF!</v>
      </c>
      <c r="Q278" s="38">
        <f>AVERAGE(Q279:Q290)</f>
        <v>3</v>
      </c>
      <c r="R278" s="59" t="s">
        <v>391</v>
      </c>
      <c r="S278" s="59" t="s">
        <v>391</v>
      </c>
      <c r="T278" s="8"/>
    </row>
    <row r="279" spans="1:20" s="56" customFormat="1" ht="13" customHeight="1" outlineLevel="4">
      <c r="A279" s="43">
        <v>0</v>
      </c>
      <c r="B279" s="41" t="s">
        <v>24</v>
      </c>
      <c r="C279" s="41" t="s">
        <v>37</v>
      </c>
      <c r="D279" s="25" t="str">
        <f t="shared" si="219"/>
        <v></v>
      </c>
      <c r="E279" s="42" t="s">
        <v>37</v>
      </c>
      <c r="F279" s="43">
        <v>480</v>
      </c>
      <c r="G279" s="28">
        <f>H277</f>
        <v>45205.00000000008</v>
      </c>
      <c r="H279" s="28">
        <f t="shared" si="184"/>
        <v>45205.333333333416</v>
      </c>
      <c r="I279" s="29"/>
      <c r="J279" s="30"/>
      <c r="K279" s="31"/>
      <c r="L279" s="32"/>
      <c r="M279" s="31"/>
      <c r="N279" s="33"/>
      <c r="O279" s="51" cm="1">
        <f t="array" aca="1" ref="O279" ca="1">IF(K279="SI",IF(N279&lt;&gt;0,(INDIRECT(M279)*N279)/L279,0),0)</f>
        <v>0</v>
      </c>
      <c r="P279" s="51" cm="1">
        <f t="array" aca="1" ref="P279" ca="1">IF(N279&lt;&gt;0,(INDIRECT(M279)*N279)/L279,0)</f>
        <v>0</v>
      </c>
      <c r="Q279" s="38">
        <v>3</v>
      </c>
      <c r="R279" s="59"/>
      <c r="S279" s="59"/>
      <c r="T279" s="8"/>
    </row>
    <row r="280" spans="1:20" s="56" customFormat="1" ht="13" customHeight="1" outlineLevel="4">
      <c r="A280" s="43">
        <v>0</v>
      </c>
      <c r="B280" s="41" t="s">
        <v>71</v>
      </c>
      <c r="C280" s="41" t="s">
        <v>75</v>
      </c>
      <c r="D280" s="25" t="str">
        <f t="shared" ref="D280:D360" si="220">IFERROR(VLOOKUP(C280,Todos,2,FALSE),"")</f>
        <v></v>
      </c>
      <c r="E280" s="42" t="s">
        <v>75</v>
      </c>
      <c r="F280" s="43">
        <v>60</v>
      </c>
      <c r="G280" s="28">
        <f t="shared" ref="G280:G291" si="221">H279</f>
        <v>45205.333333333416</v>
      </c>
      <c r="H280" s="28">
        <f t="shared" si="184"/>
        <v>45205.37500000008</v>
      </c>
      <c r="I280" s="29" t="s">
        <v>76</v>
      </c>
      <c r="J280" s="30"/>
      <c r="K280" s="31" t="s">
        <v>27</v>
      </c>
      <c r="L280" s="32">
        <v>1</v>
      </c>
      <c r="M280" s="31" t="s">
        <v>388</v>
      </c>
      <c r="N280" s="33">
        <v>0</v>
      </c>
      <c r="O280" s="51" cm="1">
        <f t="array" aca="1" ref="O280" ca="1">IF(K280="SI",IF(N280&lt;&gt;0,(INDIRECT(M280)*N280)/L280,0),0)</f>
        <v>0</v>
      </c>
      <c r="P280" s="51" cm="1">
        <f t="array" aca="1" ref="P280" ca="1">IF(N280&lt;&gt;0,(INDIRECT(M280)*N280)/L280,0)</f>
        <v>0</v>
      </c>
      <c r="Q280" s="38">
        <v>3</v>
      </c>
      <c r="R280" s="59"/>
      <c r="S280" s="59"/>
      <c r="T280" s="8"/>
    </row>
    <row r="281" spans="1:20" s="56" customFormat="1" ht="13" customHeight="1" outlineLevel="4">
      <c r="A281" s="43">
        <v>0</v>
      </c>
      <c r="B281" s="41" t="s">
        <v>24</v>
      </c>
      <c r="C281" s="41" t="s">
        <v>324</v>
      </c>
      <c r="D281" s="25" t="str">
        <f t="shared" ref="D281:D361" si="222">IFERROR(VLOOKUP(C281,Todos,2,FALSE),"")</f>
        <v></v>
      </c>
      <c r="E281" s="42" t="s">
        <v>420</v>
      </c>
      <c r="F281" s="43">
        <v>0</v>
      </c>
      <c r="G281" s="28">
        <f t="shared" si="221"/>
        <v>45205.37500000008</v>
      </c>
      <c r="H281" s="28">
        <f t="shared" si="184"/>
        <v>45205.37500000008</v>
      </c>
      <c r="I281" s="29" t="s">
        <v>421</v>
      </c>
      <c r="J281" s="30"/>
      <c r="K281" s="31" t="s">
        <v>27</v>
      </c>
      <c r="L281" s="32">
        <v>6</v>
      </c>
      <c r="M281" s="31" t="s">
        <v>28</v>
      </c>
      <c r="N281" s="33">
        <v>5238861</v>
      </c>
      <c r="O281" s="51" t="e" cm="1">
        <f t="array" aca="1" ref="O281" ca="1">IF(K281="SI",IF(N281&lt;&gt;0,(INDIRECT(M281)*N281)/L281,0),0)</f>
        <v>#REF!</v>
      </c>
      <c r="P281" s="51" t="e" cm="1">
        <f t="array" aca="1" ref="P281" ca="1">IF(N281&lt;&gt;0,(INDIRECT(M281)*N281)/L281,0)</f>
        <v>#REF!</v>
      </c>
      <c r="Q281" s="38">
        <v>3</v>
      </c>
      <c r="R281" s="59"/>
      <c r="S281" s="59"/>
      <c r="T281" s="8"/>
    </row>
    <row r="282" spans="1:20" s="56" customFormat="1" ht="13" customHeight="1" outlineLevel="4">
      <c r="A282" s="43">
        <v>0</v>
      </c>
      <c r="B282" s="41" t="s">
        <v>24</v>
      </c>
      <c r="C282" s="41" t="s">
        <v>324</v>
      </c>
      <c r="D282" s="25" t="str">
        <f t="shared" ref="D282:D362" si="223">IFERROR(VLOOKUP(C282,Todos,2,FALSE),"")</f>
        <v></v>
      </c>
      <c r="E282" s="42" t="s">
        <v>422</v>
      </c>
      <c r="F282" s="43">
        <v>0</v>
      </c>
      <c r="G282" s="28">
        <f t="shared" si="221"/>
        <v>45205.37500000008</v>
      </c>
      <c r="H282" s="28">
        <f t="shared" si="184"/>
        <v>45205.37500000008</v>
      </c>
      <c r="I282" s="29" t="s">
        <v>423</v>
      </c>
      <c r="J282" s="30"/>
      <c r="K282" s="31" t="s">
        <v>27</v>
      </c>
      <c r="L282" s="32">
        <v>1</v>
      </c>
      <c r="M282" s="31" t="s">
        <v>28</v>
      </c>
      <c r="N282" s="33">
        <f>20*3880</f>
        <v>77600</v>
      </c>
      <c r="O282" s="51" t="e" cm="1">
        <f t="array" aca="1" ref="O282" ca="1">IF(K282="SI",IF(N282&lt;&gt;0,(INDIRECT(M282)*N282)/L282,0),0)</f>
        <v>#REF!</v>
      </c>
      <c r="P282" s="51" t="e" cm="1">
        <f t="array" aca="1" ref="P282" ca="1">IF(N282&lt;&gt;0,(INDIRECT(M282)*N282)/L282,0)</f>
        <v>#REF!</v>
      </c>
      <c r="Q282" s="38">
        <v>3</v>
      </c>
      <c r="R282" s="59"/>
      <c r="S282" s="59"/>
      <c r="T282" s="8"/>
    </row>
    <row r="283" spans="1:20" s="56" customFormat="1" ht="31.5" outlineLevel="4">
      <c r="A283" s="43">
        <v>0</v>
      </c>
      <c r="B283" s="41" t="s">
        <v>24</v>
      </c>
      <c r="C283" s="41" t="s">
        <v>83</v>
      </c>
      <c r="D283" s="25" t="str">
        <f t="shared" ref="D283:D363" si="224">IFERROR(VLOOKUP(C283,Todos,2,FALSE),"")</f>
        <v></v>
      </c>
      <c r="E283" s="42" t="s">
        <v>424</v>
      </c>
      <c r="F283" s="43">
        <v>0</v>
      </c>
      <c r="G283" s="28">
        <f t="shared" si="221"/>
        <v>45205.37500000008</v>
      </c>
      <c r="H283" s="28">
        <f t="shared" si="184"/>
        <v>45205.37500000008</v>
      </c>
      <c r="I283" s="29" t="s">
        <v>425</v>
      </c>
      <c r="J283" s="30"/>
      <c r="K283" s="31" t="s">
        <v>27</v>
      </c>
      <c r="L283" s="32">
        <v>1</v>
      </c>
      <c r="M283" s="31" t="s">
        <v>28</v>
      </c>
      <c r="N283" s="33">
        <f>607.5*3880</f>
        <v>2357100</v>
      </c>
      <c r="O283" s="51" t="e" cm="1">
        <f t="array" aca="1" ref="O283" ca="1">IF(K283="SI",IF(N283&lt;&gt;0,(INDIRECT(M283)*N283)/L283,0),0)</f>
        <v>#REF!</v>
      </c>
      <c r="P283" s="51" t="e" cm="1">
        <f t="array" aca="1" ref="P283" ca="1">IF(N283&lt;&gt;0,(INDIRECT(M283)*N283)/L283,0)</f>
        <v>#REF!</v>
      </c>
      <c r="Q283" s="38">
        <v>3</v>
      </c>
      <c r="R283" s="59"/>
      <c r="S283" s="59"/>
      <c r="T283" s="8"/>
    </row>
    <row r="284" spans="1:20" s="56" customFormat="1" outlineLevel="4">
      <c r="A284" s="43">
        <v>0</v>
      </c>
      <c r="B284" s="41" t="s">
        <v>62</v>
      </c>
      <c r="C284" s="41" t="s">
        <v>126</v>
      </c>
      <c r="D284" s="25" t="str">
        <f t="shared" ref="D284:D364" si="225">IFERROR(VLOOKUP(C284,Todos,2,FALSE),"")</f>
        <v></v>
      </c>
      <c r="E284" s="42" t="s">
        <v>426</v>
      </c>
      <c r="F284" s="43">
        <v>60</v>
      </c>
      <c r="G284" s="28">
        <f t="shared" si="221"/>
        <v>45205.37500000008</v>
      </c>
      <c r="H284" s="28">
        <f t="shared" si="184"/>
        <v>45205.416666666744</v>
      </c>
      <c r="I284" s="29" t="s">
        <v>88</v>
      </c>
      <c r="J284" s="30"/>
      <c r="K284" s="31" t="s">
        <v>27</v>
      </c>
      <c r="L284" s="32">
        <v>1</v>
      </c>
      <c r="M284" s="31" t="s">
        <v>388</v>
      </c>
      <c r="N284" s="33">
        <v>0</v>
      </c>
      <c r="O284" s="51" cm="1">
        <f t="array" aca="1" ref="O284" ca="1">IF(K284="SI",IF(N284&lt;&gt;0,(INDIRECT(M284)*N284)/L284,0),0)</f>
        <v>0</v>
      </c>
      <c r="P284" s="51" cm="1">
        <f t="array" aca="1" ref="P284" ca="1">IF(N284&lt;&gt;0,(INDIRECT(M284)*N284)/L284,0)</f>
        <v>0</v>
      </c>
      <c r="Q284" s="38">
        <v>3</v>
      </c>
      <c r="R284" s="59"/>
      <c r="S284" s="59"/>
      <c r="T284" s="8"/>
    </row>
    <row r="285" spans="1:20" s="56" customFormat="1" outlineLevel="4">
      <c r="A285" s="43">
        <v>0</v>
      </c>
      <c r="B285" s="41" t="s">
        <v>62</v>
      </c>
      <c r="C285" s="41" t="s">
        <v>260</v>
      </c>
      <c r="D285" s="25" t="str">
        <f t="shared" ref="D285:D365" si="226">IFERROR(VLOOKUP(C285,Todos,2,FALSE),"")</f>
        <v></v>
      </c>
      <c r="E285" s="42" t="s">
        <v>427</v>
      </c>
      <c r="F285" s="43">
        <v>90</v>
      </c>
      <c r="G285" s="28">
        <f t="shared" si="221"/>
        <v>45205.416666666744</v>
      </c>
      <c r="H285" s="28">
        <f t="shared" si="184"/>
        <v>45205.479166666744</v>
      </c>
      <c r="I285" s="29" t="s">
        <v>88</v>
      </c>
      <c r="J285" s="30"/>
      <c r="K285" s="31" t="s">
        <v>27</v>
      </c>
      <c r="L285" s="32">
        <v>1</v>
      </c>
      <c r="M285" s="31" t="s">
        <v>388</v>
      </c>
      <c r="N285" s="33">
        <v>0</v>
      </c>
      <c r="O285" s="51" cm="1">
        <f t="array" aca="1" ref="O285" ca="1">IF(K285="SI",IF(N285&lt;&gt;0,(INDIRECT(M285)*N285)/L285,0),0)</f>
        <v>0</v>
      </c>
      <c r="P285" s="51" cm="1">
        <f t="array" aca="1" ref="P285" ca="1">IF(N285&lt;&gt;0,(INDIRECT(M285)*N285)/L285,0)</f>
        <v>0</v>
      </c>
      <c r="Q285" s="38">
        <v>3</v>
      </c>
      <c r="R285" s="59"/>
      <c r="S285" s="59"/>
      <c r="T285" s="8"/>
    </row>
    <row r="286" spans="1:20" s="56" customFormat="1" outlineLevel="4">
      <c r="A286" s="43">
        <v>0</v>
      </c>
      <c r="B286" s="41" t="s">
        <v>62</v>
      </c>
      <c r="C286" s="41" t="s">
        <v>89</v>
      </c>
      <c r="D286" s="25" t="str">
        <f t="shared" ref="D286:D366" si="227">IFERROR(VLOOKUP(C286,Todos,2,FALSE),"")</f>
        <v></v>
      </c>
      <c r="E286" s="42" t="s">
        <v>428</v>
      </c>
      <c r="F286" s="43">
        <v>90</v>
      </c>
      <c r="G286" s="28">
        <f t="shared" si="221"/>
        <v>45205.479166666744</v>
      </c>
      <c r="H286" s="28">
        <f t="shared" si="184"/>
        <v>45205.541666666744</v>
      </c>
      <c r="I286" s="29" t="s">
        <v>88</v>
      </c>
      <c r="J286" s="30"/>
      <c r="K286" s="31" t="s">
        <v>27</v>
      </c>
      <c r="L286" s="32">
        <v>1</v>
      </c>
      <c r="M286" s="31" t="s">
        <v>388</v>
      </c>
      <c r="N286" s="33">
        <v>0</v>
      </c>
      <c r="O286" s="51" cm="1">
        <f t="array" aca="1" ref="O286" ca="1">IF(K286="SI",IF(N286&lt;&gt;0,(INDIRECT(M286)*N286)/L286,0),0)</f>
        <v>0</v>
      </c>
      <c r="P286" s="51" cm="1">
        <f t="array" aca="1" ref="P286" ca="1">IF(N286&lt;&gt;0,(INDIRECT(M286)*N286)/L286,0)</f>
        <v>0</v>
      </c>
      <c r="Q286" s="38">
        <v>3</v>
      </c>
      <c r="R286" s="59"/>
      <c r="S286" s="59"/>
      <c r="T286" s="8"/>
    </row>
    <row r="287" spans="1:20" s="56" customFormat="1" outlineLevel="4">
      <c r="A287" s="43">
        <v>0</v>
      </c>
      <c r="B287" s="41" t="s">
        <v>71</v>
      </c>
      <c r="C287" s="41" t="s">
        <v>95</v>
      </c>
      <c r="D287" s="25" t="str">
        <f t="shared" ref="D287:D367" si="228">IFERROR(VLOOKUP(C287,Todos,2,FALSE),"")</f>
        <v></v>
      </c>
      <c r="E287" s="42" t="s">
        <v>95</v>
      </c>
      <c r="F287" s="43">
        <v>60</v>
      </c>
      <c r="G287" s="28">
        <f t="shared" si="221"/>
        <v>45205.541666666744</v>
      </c>
      <c r="H287" s="28">
        <f t="shared" si="184"/>
        <v>45205.583333333409</v>
      </c>
      <c r="I287" s="29" t="s">
        <v>429</v>
      </c>
      <c r="J287" s="30"/>
      <c r="K287" s="31" t="s">
        <v>27</v>
      </c>
      <c r="L287" s="32">
        <v>1</v>
      </c>
      <c r="M287" s="31" t="s">
        <v>388</v>
      </c>
      <c r="N287" s="33">
        <v>0</v>
      </c>
      <c r="O287" s="51" cm="1">
        <f t="array" aca="1" ref="O287" ca="1">IF(K287="SI",IF(N287&lt;&gt;0,(INDIRECT(M287)*N287)/L287,0),0)</f>
        <v>0</v>
      </c>
      <c r="P287" s="51" cm="1">
        <f t="array" aca="1" ref="P287" ca="1">IF(N287&lt;&gt;0,(INDIRECT(M287)*N287)/L287,0)</f>
        <v>0</v>
      </c>
      <c r="Q287" s="38">
        <v>3</v>
      </c>
      <c r="R287" s="59"/>
      <c r="S287" s="59"/>
      <c r="T287" s="8"/>
    </row>
    <row r="288" spans="1:20" s="56" customFormat="1" outlineLevel="4">
      <c r="A288" s="43">
        <v>0</v>
      </c>
      <c r="B288" s="41" t="s">
        <v>24</v>
      </c>
      <c r="C288" s="41" t="s">
        <v>430</v>
      </c>
      <c r="D288" s="25" t="str">
        <f t="shared" ref="D288:D368" si="229">IFERROR(VLOOKUP(C288,Todos,2,FALSE),"")</f>
        <v></v>
      </c>
      <c r="E288" s="42" t="s">
        <v>430</v>
      </c>
      <c r="F288" s="43">
        <v>300</v>
      </c>
      <c r="G288" s="28">
        <f t="shared" si="221"/>
        <v>45205.583333333409</v>
      </c>
      <c r="H288" s="28">
        <f t="shared" si="184"/>
        <v>45205.791666666744</v>
      </c>
      <c r="I288" s="29"/>
      <c r="J288" s="30"/>
      <c r="K288" s="31"/>
      <c r="L288" s="32"/>
      <c r="M288" s="31"/>
      <c r="N288" s="33"/>
      <c r="O288" s="51" cm="1">
        <f t="array" aca="1" ref="O288" ca="1">IF(K288="SI",IF(N288&lt;&gt;0,(INDIRECT(M288)*N288)/L288,0),0)</f>
        <v>0</v>
      </c>
      <c r="P288" s="51" cm="1">
        <f t="array" aca="1" ref="P288" ca="1">IF(N288&lt;&gt;0,(INDIRECT(M288)*N288)/L288,0)</f>
        <v>0</v>
      </c>
      <c r="Q288" s="38">
        <v>3</v>
      </c>
      <c r="R288" s="59"/>
      <c r="S288" s="59"/>
      <c r="T288" s="8"/>
    </row>
    <row r="289" spans="1:20" s="56" customFormat="1" outlineLevel="4">
      <c r="A289" s="43">
        <v>0</v>
      </c>
      <c r="B289" s="41" t="s">
        <v>71</v>
      </c>
      <c r="C289" s="41" t="s">
        <v>72</v>
      </c>
      <c r="D289" s="25" t="str">
        <f t="shared" ref="D289:D369" si="230">IFERROR(VLOOKUP(C289,Todos,2,FALSE),"")</f>
        <v></v>
      </c>
      <c r="E289" s="42" t="s">
        <v>72</v>
      </c>
      <c r="F289" s="43">
        <v>60</v>
      </c>
      <c r="G289" s="28">
        <f t="shared" si="221"/>
        <v>45205.791666666744</v>
      </c>
      <c r="H289" s="28">
        <f t="shared" si="184"/>
        <v>45205.833333333409</v>
      </c>
      <c r="I289" s="29" t="s">
        <v>429</v>
      </c>
      <c r="J289" s="30"/>
      <c r="K289" s="31" t="s">
        <v>27</v>
      </c>
      <c r="L289" s="32">
        <v>1</v>
      </c>
      <c r="M289" s="31" t="s">
        <v>388</v>
      </c>
      <c r="N289" s="33">
        <v>0</v>
      </c>
      <c r="O289" s="51" cm="1">
        <f t="array" aca="1" ref="O289" ca="1">IF(K289="SI",IF(N289&lt;&gt;0,(INDIRECT(M289)*N289)/L289,0),0)</f>
        <v>0</v>
      </c>
      <c r="P289" s="51" cm="1">
        <f t="array" aca="1" ref="P289" ca="1">IF(N289&lt;&gt;0,(INDIRECT(M289)*N289)/L289,0)</f>
        <v>0</v>
      </c>
      <c r="Q289" s="38">
        <v>3</v>
      </c>
      <c r="R289" s="59"/>
      <c r="S289" s="59"/>
      <c r="T289" s="8"/>
    </row>
    <row r="290" spans="1:20" s="56" customFormat="1" outlineLevel="4">
      <c r="A290" s="43">
        <v>0</v>
      </c>
      <c r="B290" s="41" t="s">
        <v>24</v>
      </c>
      <c r="C290" s="41" t="s">
        <v>37</v>
      </c>
      <c r="D290" s="25" t="str">
        <f t="shared" ref="D290:D370" si="231">IFERROR(VLOOKUP(C290,Todos,2,FALSE),"")</f>
        <v></v>
      </c>
      <c r="E290" s="42" t="s">
        <v>37</v>
      </c>
      <c r="F290" s="43">
        <v>240</v>
      </c>
      <c r="G290" s="28">
        <f t="shared" si="221"/>
        <v>45205.833333333409</v>
      </c>
      <c r="H290" s="28">
        <f t="shared" si="184"/>
        <v>45206.000000000073</v>
      </c>
      <c r="I290" s="29"/>
      <c r="J290" s="30"/>
      <c r="K290" s="31"/>
      <c r="L290" s="32"/>
      <c r="M290" s="31"/>
      <c r="N290" s="33"/>
      <c r="O290" s="51" cm="1">
        <f t="array" aca="1" ref="O290" ca="1">IF(K290="SI",IF(N290&lt;&gt;0,(INDIRECT(M290)*N290)/L290,0),0)</f>
        <v>0</v>
      </c>
      <c r="P290" s="51" cm="1">
        <f t="array" aca="1" ref="P290" ca="1">IF(N290&lt;&gt;0,(INDIRECT(M290)*N290)/L290,0)</f>
        <v>0</v>
      </c>
      <c r="Q290" s="38">
        <v>3</v>
      </c>
      <c r="R290" s="59"/>
      <c r="S290" s="59"/>
      <c r="T290" s="8"/>
    </row>
    <row r="291" spans="1:20" s="56" customFormat="1" outlineLevel="3">
      <c r="A291" s="43">
        <v>0</v>
      </c>
      <c r="B291" s="41" t="s">
        <v>15</v>
      </c>
      <c r="C291" s="41" t="s">
        <v>22</v>
      </c>
      <c r="D291" s="25" t="str">
        <f t="shared" ref="D291:D371" si="232">IFERROR(VLOOKUP(C291,Todos,2,FALSE),"")</f>
        <v></v>
      </c>
      <c r="E291" s="55" t="s">
        <v>431</v>
      </c>
      <c r="F291" s="43">
        <f>SUM(F292:F298)</f>
        <v>1440</v>
      </c>
      <c r="G291" s="28">
        <f t="shared" si="221"/>
        <v>45206.000000000073</v>
      </c>
      <c r="H291" s="28">
        <f t="shared" si="184"/>
        <v>45207.000000000073</v>
      </c>
      <c r="I291" s="29" t="str">
        <f>PROPER(TEXT(G291,"dddd"))</f>
        <v>Sábado</v>
      </c>
      <c r="J291" s="30">
        <f>SUM(J292:J298)</f>
        <v>0</v>
      </c>
      <c r="K291" s="31"/>
      <c r="L291" s="32"/>
      <c r="M291" s="31"/>
      <c r="N291" s="33"/>
      <c r="O291" s="49">
        <f>SUM(O292:O298)</f>
        <v>0</v>
      </c>
      <c r="P291" s="49">
        <f>SUM(P292:P298)</f>
        <v>0</v>
      </c>
      <c r="Q291" s="38">
        <f>AVERAGE(Q292:Q298)</f>
        <v>3</v>
      </c>
      <c r="R291" s="57" t="s">
        <v>391</v>
      </c>
      <c r="S291" s="57" t="s">
        <v>391</v>
      </c>
      <c r="T291" s="8"/>
    </row>
    <row r="292" spans="1:20" s="56" customFormat="1" outlineLevel="4">
      <c r="A292" s="43">
        <v>0</v>
      </c>
      <c r="B292" s="41" t="s">
        <v>24</v>
      </c>
      <c r="C292" s="41" t="s">
        <v>37</v>
      </c>
      <c r="D292" s="25" t="str">
        <f t="shared" si="232"/>
        <v></v>
      </c>
      <c r="E292" s="42" t="s">
        <v>37</v>
      </c>
      <c r="F292" s="43">
        <v>240</v>
      </c>
      <c r="G292" s="28">
        <f>H290</f>
        <v>45206.000000000073</v>
      </c>
      <c r="H292" s="28">
        <f t="shared" si="184"/>
        <v>45206.166666666737</v>
      </c>
      <c r="I292" s="29"/>
      <c r="J292" s="30"/>
      <c r="K292" s="31"/>
      <c r="L292" s="32"/>
      <c r="M292" s="31"/>
      <c r="N292" s="33"/>
      <c r="O292" s="51">
        <v>0</v>
      </c>
      <c r="P292" s="51">
        <v>0</v>
      </c>
      <c r="Q292" s="38">
        <v>3</v>
      </c>
      <c r="R292" s="57"/>
      <c r="S292" s="57"/>
      <c r="T292" s="8"/>
    </row>
    <row r="293" spans="1:20" s="56" customFormat="1" outlineLevel="4">
      <c r="A293" s="43">
        <v>0</v>
      </c>
      <c r="B293" s="41" t="s">
        <v>71</v>
      </c>
      <c r="C293" s="41" t="s">
        <v>75</v>
      </c>
      <c r="D293" s="25" t="str">
        <f t="shared" si="232"/>
        <v></v>
      </c>
      <c r="E293" s="42" t="s">
        <v>75</v>
      </c>
      <c r="F293" s="43">
        <v>60</v>
      </c>
      <c r="G293" s="28">
        <f>H292</f>
        <v>45206.166666666737</v>
      </c>
      <c r="H293" s="28">
        <f t="shared" si="184"/>
        <v>45206.208333333401</v>
      </c>
      <c r="I293" s="29" t="s">
        <v>429</v>
      </c>
      <c r="J293" s="30"/>
      <c r="K293" s="31" t="s">
        <v>27</v>
      </c>
      <c r="L293" s="32">
        <v>1</v>
      </c>
      <c r="M293" s="31" t="s">
        <v>388</v>
      </c>
      <c r="N293" s="33">
        <v>0</v>
      </c>
      <c r="O293" s="51">
        <v>0</v>
      </c>
      <c r="P293" s="51">
        <v>0</v>
      </c>
      <c r="Q293" s="38">
        <v>3</v>
      </c>
      <c r="R293" s="57"/>
      <c r="S293" s="57"/>
      <c r="T293" s="8"/>
    </row>
    <row r="294" spans="1:20" s="56" customFormat="1" outlineLevel="4">
      <c r="A294" s="43">
        <v>0</v>
      </c>
      <c r="B294" s="41" t="s">
        <v>62</v>
      </c>
      <c r="C294" s="41" t="s">
        <v>89</v>
      </c>
      <c r="D294" s="25" t="str">
        <f t="shared" si="232"/>
        <v></v>
      </c>
      <c r="E294" s="42" t="s">
        <v>432</v>
      </c>
      <c r="F294" s="43">
        <v>420</v>
      </c>
      <c r="G294" s="28">
        <f t="shared" ref="G294:G298" si="233">H293</f>
        <v>45206.208333333401</v>
      </c>
      <c r="H294" s="28">
        <f t="shared" si="184"/>
        <v>45206.500000000065</v>
      </c>
      <c r="I294" s="29" t="s">
        <v>88</v>
      </c>
      <c r="J294" s="30"/>
      <c r="K294" s="31" t="s">
        <v>27</v>
      </c>
      <c r="L294" s="32">
        <v>1</v>
      </c>
      <c r="M294" s="31" t="s">
        <v>388</v>
      </c>
      <c r="N294" s="33">
        <v>0</v>
      </c>
      <c r="O294" s="51">
        <v>0</v>
      </c>
      <c r="P294" s="51">
        <v>0</v>
      </c>
      <c r="Q294" s="38">
        <v>3</v>
      </c>
      <c r="R294" s="57"/>
      <c r="S294" s="57"/>
      <c r="T294" s="8"/>
    </row>
    <row r="295" spans="1:20" s="56" customFormat="1" outlineLevel="4">
      <c r="A295" s="43">
        <v>0</v>
      </c>
      <c r="B295" s="41" t="s">
        <v>71</v>
      </c>
      <c r="C295" s="41" t="s">
        <v>95</v>
      </c>
      <c r="D295" s="25" t="str">
        <f t="shared" si="232"/>
        <v></v>
      </c>
      <c r="E295" s="42" t="s">
        <v>95</v>
      </c>
      <c r="F295" s="43">
        <v>60</v>
      </c>
      <c r="G295" s="28">
        <f t="shared" si="233"/>
        <v>45206.500000000065</v>
      </c>
      <c r="H295" s="28">
        <f t="shared" si="184"/>
        <v>45206.54166666673</v>
      </c>
      <c r="I295" s="29" t="s">
        <v>429</v>
      </c>
      <c r="J295" s="30"/>
      <c r="K295" s="31" t="s">
        <v>27</v>
      </c>
      <c r="L295" s="32">
        <v>1</v>
      </c>
      <c r="M295" s="31" t="s">
        <v>388</v>
      </c>
      <c r="N295" s="33">
        <v>0</v>
      </c>
      <c r="O295" s="51">
        <v>0</v>
      </c>
      <c r="P295" s="51">
        <v>0</v>
      </c>
      <c r="Q295" s="38">
        <v>3</v>
      </c>
      <c r="R295" s="57"/>
      <c r="S295" s="57"/>
      <c r="T295" s="8"/>
    </row>
    <row r="296" spans="1:20" s="56" customFormat="1" outlineLevel="4">
      <c r="A296" s="43">
        <v>0</v>
      </c>
      <c r="B296" s="41" t="s">
        <v>24</v>
      </c>
      <c r="C296" s="41" t="s">
        <v>430</v>
      </c>
      <c r="D296" s="25" t="str">
        <f t="shared" si="232"/>
        <v></v>
      </c>
      <c r="E296" s="42" t="s">
        <v>430</v>
      </c>
      <c r="F296" s="43">
        <v>360</v>
      </c>
      <c r="G296" s="28">
        <f t="shared" si="233"/>
        <v>45206.54166666673</v>
      </c>
      <c r="H296" s="28">
        <f t="shared" si="184"/>
        <v>45206.79166666673</v>
      </c>
      <c r="I296" s="29"/>
      <c r="J296" s="30"/>
      <c r="K296" s="31"/>
      <c r="L296" s="32"/>
      <c r="M296" s="31"/>
      <c r="N296" s="33"/>
      <c r="O296" s="51">
        <v>0</v>
      </c>
      <c r="P296" s="51">
        <v>0</v>
      </c>
      <c r="Q296" s="38">
        <v>3</v>
      </c>
      <c r="R296" s="57"/>
      <c r="S296" s="57"/>
      <c r="T296" s="8"/>
    </row>
    <row r="297" spans="1:20" s="56" customFormat="1" outlineLevel="4">
      <c r="A297" s="43">
        <v>0</v>
      </c>
      <c r="B297" s="41" t="s">
        <v>71</v>
      </c>
      <c r="C297" s="41" t="s">
        <v>72</v>
      </c>
      <c r="D297" s="25" t="str">
        <f t="shared" si="232"/>
        <v></v>
      </c>
      <c r="E297" s="42" t="s">
        <v>72</v>
      </c>
      <c r="F297" s="43">
        <v>60</v>
      </c>
      <c r="G297" s="28">
        <f t="shared" si="233"/>
        <v>45206.79166666673</v>
      </c>
      <c r="H297" s="28">
        <f t="shared" ref="H297:H360" si="234">G297+(F297/24)/60</f>
        <v>45206.833333333394</v>
      </c>
      <c r="I297" s="29" t="s">
        <v>429</v>
      </c>
      <c r="J297" s="30"/>
      <c r="K297" s="31" t="s">
        <v>27</v>
      </c>
      <c r="L297" s="32">
        <v>1</v>
      </c>
      <c r="M297" s="31" t="s">
        <v>388</v>
      </c>
      <c r="N297" s="33">
        <v>0</v>
      </c>
      <c r="O297" s="51">
        <v>0</v>
      </c>
      <c r="P297" s="51">
        <v>0</v>
      </c>
      <c r="Q297" s="38">
        <v>3</v>
      </c>
      <c r="R297" s="57"/>
      <c r="S297" s="57"/>
      <c r="T297" s="8"/>
    </row>
    <row r="298" spans="1:20" s="56" customFormat="1" outlineLevel="4">
      <c r="A298" s="43">
        <v>0</v>
      </c>
      <c r="B298" s="41" t="s">
        <v>24</v>
      </c>
      <c r="C298" s="41" t="s">
        <v>37</v>
      </c>
      <c r="D298" s="25" t="str">
        <f t="shared" si="232"/>
        <v></v>
      </c>
      <c r="E298" s="42" t="s">
        <v>37</v>
      </c>
      <c r="F298" s="43">
        <v>240</v>
      </c>
      <c r="G298" s="28">
        <f t="shared" si="233"/>
        <v>45206.833333333394</v>
      </c>
      <c r="H298" s="28">
        <f t="shared" si="234"/>
        <v>45207.000000000058</v>
      </c>
      <c r="I298" s="29"/>
      <c r="J298" s="30"/>
      <c r="K298" s="31"/>
      <c r="L298" s="32"/>
      <c r="M298" s="31"/>
      <c r="N298" s="33"/>
      <c r="O298" s="51">
        <v>0</v>
      </c>
      <c r="P298" s="51">
        <v>0</v>
      </c>
      <c r="Q298" s="38">
        <v>3</v>
      </c>
      <c r="R298" s="57"/>
      <c r="S298" s="57"/>
      <c r="T298" s="8"/>
    </row>
    <row r="299" spans="1:20" s="56" customFormat="1" outlineLevel="3">
      <c r="A299" s="43">
        <v>0</v>
      </c>
      <c r="B299" s="41" t="s">
        <v>15</v>
      </c>
      <c r="C299" s="41" t="s">
        <v>22</v>
      </c>
      <c r="D299" s="25" t="str">
        <f t="shared" si="232"/>
        <v></v>
      </c>
      <c r="E299" s="55" t="s">
        <v>433</v>
      </c>
      <c r="F299" s="43">
        <f>SUM(F300:F308)</f>
        <v>1440</v>
      </c>
      <c r="G299" s="28">
        <f>H298</f>
        <v>45207.000000000058</v>
      </c>
      <c r="H299" s="28">
        <f t="shared" si="234"/>
        <v>45208.000000000058</v>
      </c>
      <c r="I299" s="29" t="str">
        <f>PROPER(TEXT(G299,"dddd"))</f>
        <v>Domingo</v>
      </c>
      <c r="J299" s="30">
        <f>SUM(J300:J308)</f>
        <v>0</v>
      </c>
      <c r="K299" s="31"/>
      <c r="L299" s="32"/>
      <c r="M299" s="31"/>
      <c r="N299" s="33"/>
      <c r="O299" s="49">
        <f>SUM(O300:O308)</f>
        <v>0</v>
      </c>
      <c r="P299" s="49">
        <f>SUM(P300:P308)</f>
        <v>0</v>
      </c>
      <c r="Q299" s="38">
        <f>AVERAGE(Q300:Q308)</f>
        <v>3</v>
      </c>
      <c r="R299" s="57" t="s">
        <v>391</v>
      </c>
      <c r="S299" s="58" t="s">
        <v>391</v>
      </c>
      <c r="T299" s="8"/>
    </row>
    <row r="300" spans="1:20" s="56" customFormat="1" outlineLevel="4">
      <c r="A300" s="43">
        <v>0</v>
      </c>
      <c r="B300" s="41" t="s">
        <v>24</v>
      </c>
      <c r="C300" s="41" t="s">
        <v>37</v>
      </c>
      <c r="D300" s="25" t="str">
        <f t="shared" si="232"/>
        <v></v>
      </c>
      <c r="E300" s="42" t="s">
        <v>37</v>
      </c>
      <c r="F300" s="43">
        <v>420</v>
      </c>
      <c r="G300" s="28">
        <f>H298</f>
        <v>45207.000000000058</v>
      </c>
      <c r="H300" s="28">
        <f t="shared" si="234"/>
        <v>45207.291666666722</v>
      </c>
      <c r="I300" s="29"/>
      <c r="J300" s="30"/>
      <c r="K300" s="31"/>
      <c r="L300" s="32"/>
      <c r="M300" s="31"/>
      <c r="N300" s="33"/>
      <c r="O300" s="51">
        <v>0</v>
      </c>
      <c r="P300" s="51">
        <v>0</v>
      </c>
      <c r="Q300" s="38">
        <v>3</v>
      </c>
      <c r="R300" s="57"/>
      <c r="S300" s="58"/>
      <c r="T300" s="8"/>
    </row>
    <row r="301" spans="1:20" s="56" customFormat="1" outlineLevel="4">
      <c r="A301" s="43">
        <v>0</v>
      </c>
      <c r="B301" s="41" t="s">
        <v>71</v>
      </c>
      <c r="C301" s="41" t="s">
        <v>75</v>
      </c>
      <c r="D301" s="25" t="str">
        <f t="shared" si="232"/>
        <v></v>
      </c>
      <c r="E301" s="42" t="s">
        <v>75</v>
      </c>
      <c r="F301" s="43">
        <v>60</v>
      </c>
      <c r="G301" s="28">
        <f t="shared" ref="G301:G310" si="235">H300</f>
        <v>45207.291666666722</v>
      </c>
      <c r="H301" s="28">
        <f t="shared" si="234"/>
        <v>45207.333333333387</v>
      </c>
      <c r="I301" s="29" t="s">
        <v>429</v>
      </c>
      <c r="J301" s="30"/>
      <c r="K301" s="31" t="s">
        <v>27</v>
      </c>
      <c r="L301" s="32">
        <v>1</v>
      </c>
      <c r="M301" s="31" t="s">
        <v>388</v>
      </c>
      <c r="N301" s="33">
        <v>0</v>
      </c>
      <c r="O301" s="51">
        <v>0</v>
      </c>
      <c r="P301" s="51">
        <v>0</v>
      </c>
      <c r="Q301" s="38">
        <v>3</v>
      </c>
      <c r="R301" s="57"/>
      <c r="S301" s="58"/>
      <c r="T301" s="8"/>
    </row>
    <row r="302" spans="1:20" s="56" customFormat="1" outlineLevel="4">
      <c r="A302" s="43">
        <v>0</v>
      </c>
      <c r="B302" s="41" t="s">
        <v>62</v>
      </c>
      <c r="C302" s="41" t="s">
        <v>89</v>
      </c>
      <c r="D302" s="25" t="str">
        <f t="shared" si="232"/>
        <v></v>
      </c>
      <c r="E302" s="42" t="s">
        <v>434</v>
      </c>
      <c r="F302" s="43">
        <v>300</v>
      </c>
      <c r="G302" s="28">
        <f t="shared" si="235"/>
        <v>45207.333333333387</v>
      </c>
      <c r="H302" s="28">
        <f t="shared" si="234"/>
        <v>45207.541666666722</v>
      </c>
      <c r="I302" s="29" t="s">
        <v>88</v>
      </c>
      <c r="J302" s="30"/>
      <c r="K302" s="31" t="s">
        <v>27</v>
      </c>
      <c r="L302" s="32">
        <v>1</v>
      </c>
      <c r="M302" s="31" t="s">
        <v>388</v>
      </c>
      <c r="N302" s="33">
        <v>0</v>
      </c>
      <c r="O302" s="51">
        <v>0</v>
      </c>
      <c r="P302" s="51">
        <v>0</v>
      </c>
      <c r="Q302" s="38">
        <v>3</v>
      </c>
      <c r="R302" s="57"/>
      <c r="S302" s="58"/>
      <c r="T302" s="8"/>
    </row>
    <row r="303" spans="1:20" s="56" customFormat="1" outlineLevel="4">
      <c r="A303" s="43">
        <v>0</v>
      </c>
      <c r="B303" s="41" t="s">
        <v>71</v>
      </c>
      <c r="C303" s="41" t="s">
        <v>95</v>
      </c>
      <c r="D303" s="25" t="str">
        <f t="shared" si="232"/>
        <v></v>
      </c>
      <c r="E303" s="42" t="s">
        <v>95</v>
      </c>
      <c r="F303" s="43">
        <v>60</v>
      </c>
      <c r="G303" s="28">
        <f t="shared" si="235"/>
        <v>45207.541666666722</v>
      </c>
      <c r="H303" s="28">
        <f t="shared" si="234"/>
        <v>45207.583333333387</v>
      </c>
      <c r="I303" s="29" t="s">
        <v>429</v>
      </c>
      <c r="J303" s="30"/>
      <c r="K303" s="31" t="s">
        <v>27</v>
      </c>
      <c r="L303" s="32">
        <v>1</v>
      </c>
      <c r="M303" s="31" t="s">
        <v>388</v>
      </c>
      <c r="N303" s="33">
        <v>0</v>
      </c>
      <c r="O303" s="51">
        <v>0</v>
      </c>
      <c r="P303" s="51">
        <v>0</v>
      </c>
      <c r="Q303" s="38">
        <v>3</v>
      </c>
      <c r="R303" s="57"/>
      <c r="S303" s="58"/>
      <c r="T303" s="8"/>
    </row>
    <row r="304" spans="1:20" s="56" customFormat="1" outlineLevel="4">
      <c r="A304" s="43">
        <v>0</v>
      </c>
      <c r="B304" s="41" t="s">
        <v>24</v>
      </c>
      <c r="C304" s="41" t="s">
        <v>430</v>
      </c>
      <c r="D304" s="25" t="str">
        <f t="shared" si="232"/>
        <v></v>
      </c>
      <c r="E304" s="42" t="s">
        <v>430</v>
      </c>
      <c r="F304" s="43">
        <v>60</v>
      </c>
      <c r="G304" s="28">
        <f t="shared" si="235"/>
        <v>45207.583333333387</v>
      </c>
      <c r="H304" s="28">
        <f t="shared" si="234"/>
        <v>45207.625000000051</v>
      </c>
      <c r="I304" s="29"/>
      <c r="J304" s="30"/>
      <c r="K304" s="31"/>
      <c r="L304" s="32"/>
      <c r="M304" s="31"/>
      <c r="N304" s="33"/>
      <c r="O304" s="51">
        <v>0</v>
      </c>
      <c r="P304" s="51">
        <v>0</v>
      </c>
      <c r="Q304" s="38">
        <v>3</v>
      </c>
      <c r="R304" s="57"/>
      <c r="S304" s="58"/>
      <c r="T304" s="8"/>
    </row>
    <row r="305" spans="1:20" s="56" customFormat="1" outlineLevel="4">
      <c r="A305" s="43">
        <v>0</v>
      </c>
      <c r="B305" s="41" t="s">
        <v>62</v>
      </c>
      <c r="C305" s="41" t="s">
        <v>89</v>
      </c>
      <c r="D305" s="25" t="str">
        <f t="shared" si="232"/>
        <v></v>
      </c>
      <c r="E305" s="42" t="s">
        <v>435</v>
      </c>
      <c r="F305" s="43">
        <v>180</v>
      </c>
      <c r="G305" s="28">
        <f t="shared" si="235"/>
        <v>45207.625000000051</v>
      </c>
      <c r="H305" s="28">
        <f t="shared" si="234"/>
        <v>45207.750000000051</v>
      </c>
      <c r="I305" s="29" t="s">
        <v>88</v>
      </c>
      <c r="J305" s="30"/>
      <c r="K305" s="31" t="s">
        <v>27</v>
      </c>
      <c r="L305" s="32">
        <v>1</v>
      </c>
      <c r="M305" s="31" t="s">
        <v>388</v>
      </c>
      <c r="N305" s="33">
        <v>0</v>
      </c>
      <c r="O305" s="51">
        <v>0</v>
      </c>
      <c r="P305" s="51">
        <v>0</v>
      </c>
      <c r="Q305" s="38">
        <v>3</v>
      </c>
      <c r="R305" s="57"/>
      <c r="S305" s="58"/>
      <c r="T305" s="8"/>
    </row>
    <row r="306" spans="1:20" s="56" customFormat="1" outlineLevel="4">
      <c r="A306" s="43">
        <v>0</v>
      </c>
      <c r="B306" s="41" t="s">
        <v>24</v>
      </c>
      <c r="C306" s="41" t="s">
        <v>37</v>
      </c>
      <c r="D306" s="25" t="str">
        <f t="shared" si="232"/>
        <v></v>
      </c>
      <c r="E306" s="42" t="s">
        <v>37</v>
      </c>
      <c r="F306" s="43">
        <v>60</v>
      </c>
      <c r="G306" s="28">
        <f t="shared" si="235"/>
        <v>45207.750000000051</v>
      </c>
      <c r="H306" s="28">
        <f t="shared" si="234"/>
        <v>45207.791666666715</v>
      </c>
      <c r="I306" s="29"/>
      <c r="J306" s="30"/>
      <c r="K306" s="31"/>
      <c r="L306" s="32"/>
      <c r="M306" s="31"/>
      <c r="N306" s="33"/>
      <c r="O306" s="51">
        <v>0</v>
      </c>
      <c r="P306" s="51">
        <v>0</v>
      </c>
      <c r="Q306" s="38">
        <v>3</v>
      </c>
      <c r="R306" s="57"/>
      <c r="S306" s="58"/>
      <c r="T306" s="8"/>
    </row>
    <row r="307" spans="1:20" s="56" customFormat="1" outlineLevel="4">
      <c r="A307" s="43">
        <v>0</v>
      </c>
      <c r="B307" s="41" t="s">
        <v>71</v>
      </c>
      <c r="C307" s="41" t="s">
        <v>72</v>
      </c>
      <c r="D307" s="25" t="str">
        <f t="shared" si="232"/>
        <v></v>
      </c>
      <c r="E307" s="42" t="s">
        <v>72</v>
      </c>
      <c r="F307" s="43">
        <v>60</v>
      </c>
      <c r="G307" s="28">
        <f t="shared" si="235"/>
        <v>45207.791666666715</v>
      </c>
      <c r="H307" s="28">
        <f t="shared" si="234"/>
        <v>45207.833333333379</v>
      </c>
      <c r="I307" s="29" t="s">
        <v>429</v>
      </c>
      <c r="J307" s="30"/>
      <c r="K307" s="31" t="s">
        <v>27</v>
      </c>
      <c r="L307" s="32">
        <v>1</v>
      </c>
      <c r="M307" s="31" t="s">
        <v>388</v>
      </c>
      <c r="N307" s="33">
        <v>0</v>
      </c>
      <c r="O307" s="51">
        <v>0</v>
      </c>
      <c r="P307" s="51">
        <v>0</v>
      </c>
      <c r="Q307" s="38">
        <v>3</v>
      </c>
      <c r="R307" s="57"/>
      <c r="S307" s="58"/>
      <c r="T307" s="8"/>
    </row>
    <row r="308" spans="1:20" s="56" customFormat="1" outlineLevel="4">
      <c r="A308" s="43">
        <v>0</v>
      </c>
      <c r="B308" s="41" t="s">
        <v>24</v>
      </c>
      <c r="C308" s="41" t="s">
        <v>37</v>
      </c>
      <c r="D308" s="25" t="str">
        <f t="shared" si="232"/>
        <v></v>
      </c>
      <c r="E308" s="42" t="s">
        <v>37</v>
      </c>
      <c r="F308" s="43">
        <v>240</v>
      </c>
      <c r="G308" s="28">
        <f t="shared" si="235"/>
        <v>45207.833333333379</v>
      </c>
      <c r="H308" s="28">
        <f t="shared" si="234"/>
        <v>45208.000000000044</v>
      </c>
      <c r="I308" s="29"/>
      <c r="J308" s="30"/>
      <c r="K308" s="31"/>
      <c r="L308" s="32"/>
      <c r="M308" s="31"/>
      <c r="N308" s="33"/>
      <c r="O308" s="51">
        <v>0</v>
      </c>
      <c r="P308" s="51">
        <v>0</v>
      </c>
      <c r="Q308" s="38">
        <v>3</v>
      </c>
      <c r="R308" s="57"/>
      <c r="S308" s="58"/>
      <c r="T308" s="8"/>
    </row>
    <row r="309" spans="1:20" s="56" customFormat="1" outlineLevel="2">
      <c r="A309" s="43">
        <v>2</v>
      </c>
      <c r="B309" s="41" t="s">
        <v>38</v>
      </c>
      <c r="C309" s="41" t="s">
        <v>436</v>
      </c>
      <c r="D309" s="25" t="str">
        <f t="shared" si="232"/>
        <v></v>
      </c>
      <c r="E309" s="42" t="s">
        <v>437</v>
      </c>
      <c r="F309" s="43">
        <v>0</v>
      </c>
      <c r="G309" s="28">
        <f t="shared" si="235"/>
        <v>45208.000000000044</v>
      </c>
      <c r="H309" s="28">
        <f t="shared" si="234"/>
        <v>45208.000000000044</v>
      </c>
      <c r="I309" s="29" t="s">
        <v>429</v>
      </c>
      <c r="J309" s="30"/>
      <c r="K309" s="31" t="s">
        <v>27</v>
      </c>
      <c r="L309" s="32">
        <v>1</v>
      </c>
      <c r="M309" s="31" t="s">
        <v>388</v>
      </c>
      <c r="N309" s="33">
        <v>0</v>
      </c>
      <c r="O309" s="51">
        <v>0</v>
      </c>
      <c r="P309" s="51">
        <v>0</v>
      </c>
      <c r="Q309" s="38">
        <v>3</v>
      </c>
      <c r="R309" s="57"/>
      <c r="S309" s="58"/>
      <c r="T309" s="8"/>
    </row>
    <row r="310" spans="1:20" s="56" customFormat="1" outlineLevel="2">
      <c r="A310" s="43">
        <v>0</v>
      </c>
      <c r="B310" s="41" t="s">
        <v>15</v>
      </c>
      <c r="C310" s="41" t="s">
        <v>20</v>
      </c>
      <c r="D310" s="25" t="str">
        <f t="shared" si="232"/>
        <v></v>
      </c>
      <c r="E310" s="42" t="s">
        <v>438</v>
      </c>
      <c r="F310" s="43">
        <f>F311+F329</f>
        <v>1830</v>
      </c>
      <c r="G310" s="28">
        <f t="shared" si="235"/>
        <v>45208.000000000044</v>
      </c>
      <c r="H310" s="28">
        <f t="shared" si="234"/>
        <v>45209.270833333379</v>
      </c>
      <c r="I310" s="29" t="str">
        <f>PROPER(TEXT(G310,"dddd")) &amp; " - Días Totales: " &amp; ROUND(F310/1440,0)</f>
        <v>Lunes - Días Totales: 1</v>
      </c>
      <c r="J310" s="30">
        <f>J311+J329</f>
        <v>0.4</v>
      </c>
      <c r="K310" s="31"/>
      <c r="L310" s="32"/>
      <c r="M310" s="31"/>
      <c r="N310" s="33"/>
      <c r="O310" s="51" t="e">
        <f ca="1">O311+O329</f>
        <v>#REF!</v>
      </c>
      <c r="P310" s="51" t="e">
        <f ca="1">P311+P329</f>
        <v>#REF!</v>
      </c>
      <c r="Q310" s="38">
        <f>AVERAGE(Q311,Q329)</f>
        <v>3</v>
      </c>
      <c r="R310" s="57" t="s">
        <v>391</v>
      </c>
      <c r="S310" s="57" t="s">
        <v>391</v>
      </c>
      <c r="T310" s="8"/>
    </row>
    <row r="311" spans="1:20" s="56" customFormat="1" outlineLevel="3">
      <c r="A311" s="43">
        <v>0</v>
      </c>
      <c r="B311" s="41" t="s">
        <v>15</v>
      </c>
      <c r="C311" s="41" t="s">
        <v>22</v>
      </c>
      <c r="D311" s="25" t="str">
        <f t="shared" si="232"/>
        <v></v>
      </c>
      <c r="E311" s="55" t="s">
        <v>439</v>
      </c>
      <c r="F311" s="43">
        <f>SUM(F312:F328)</f>
        <v>1440</v>
      </c>
      <c r="G311" s="28">
        <f>H309</f>
        <v>45208.000000000044</v>
      </c>
      <c r="H311" s="28">
        <f t="shared" si="234"/>
        <v>45209.000000000044</v>
      </c>
      <c r="I311" s="29" t="str">
        <f>PROPER(TEXT(G311,"dddd"))</f>
        <v>Lunes</v>
      </c>
      <c r="J311" s="30">
        <f>SUM(J312:J328)</f>
        <v>0.4</v>
      </c>
      <c r="K311" s="31"/>
      <c r="L311" s="32"/>
      <c r="M311" s="31"/>
      <c r="N311" s="33"/>
      <c r="O311" s="49" t="e">
        <f ca="1">SUM(O312:O328)</f>
        <v>#REF!</v>
      </c>
      <c r="P311" s="49" t="e">
        <f ca="1">SUM(P312:P328)</f>
        <v>#REF!</v>
      </c>
      <c r="Q311" s="38">
        <f>AVERAGE(Q312:Q328)</f>
        <v>3</v>
      </c>
      <c r="R311" s="57"/>
      <c r="S311" s="57"/>
      <c r="T311" s="8"/>
    </row>
    <row r="312" spans="1:20" s="56" customFormat="1" outlineLevel="4">
      <c r="A312" s="43">
        <v>0</v>
      </c>
      <c r="B312" s="41" t="s">
        <v>24</v>
      </c>
      <c r="C312" s="41" t="s">
        <v>37</v>
      </c>
      <c r="D312" s="25" t="str">
        <f t="shared" si="232"/>
        <v></v>
      </c>
      <c r="E312" s="42" t="s">
        <v>37</v>
      </c>
      <c r="F312" s="43">
        <v>480</v>
      </c>
      <c r="G312" s="28">
        <f>H309</f>
        <v>45208.000000000044</v>
      </c>
      <c r="H312" s="28">
        <f t="shared" si="234"/>
        <v>45208.333333333379</v>
      </c>
      <c r="I312" s="29"/>
      <c r="J312" s="30"/>
      <c r="K312" s="31"/>
      <c r="L312" s="32"/>
      <c r="M312" s="31"/>
      <c r="N312" s="33"/>
      <c r="O312" s="51" cm="1">
        <f t="array" aca="1" ref="O312" ca="1">IF(K312="SI",IF(N312&lt;&gt;0,(INDIRECT(M312)*N312)/L312,0),0)</f>
        <v>0</v>
      </c>
      <c r="P312" s="51" cm="1">
        <f t="array" aca="1" ref="P312" ca="1">IF(N312&lt;&gt;0,(INDIRECT(M312)*N312)/L312,0)</f>
        <v>0</v>
      </c>
      <c r="Q312" s="38">
        <v>3</v>
      </c>
      <c r="R312" s="57"/>
      <c r="S312" s="57"/>
      <c r="T312" s="8"/>
    </row>
    <row r="313" spans="1:20" s="56" customFormat="1" outlineLevel="4">
      <c r="A313" s="43">
        <v>0</v>
      </c>
      <c r="B313" s="41" t="s">
        <v>71</v>
      </c>
      <c r="C313" s="41" t="s">
        <v>75</v>
      </c>
      <c r="D313" s="25" t="str">
        <f t="shared" ref="D313:D393" si="236">IFERROR(VLOOKUP(C313,Todos,2,FALSE),"")</f>
        <v></v>
      </c>
      <c r="E313" s="42" t="s">
        <v>75</v>
      </c>
      <c r="F313" s="43">
        <v>60</v>
      </c>
      <c r="G313" s="28">
        <f>H312</f>
        <v>45208.333333333379</v>
      </c>
      <c r="H313" s="28">
        <f t="shared" si="234"/>
        <v>45208.375000000044</v>
      </c>
      <c r="I313" s="29" t="s">
        <v>429</v>
      </c>
      <c r="J313" s="30"/>
      <c r="K313" s="31" t="s">
        <v>27</v>
      </c>
      <c r="L313" s="32">
        <v>1</v>
      </c>
      <c r="M313" s="31" t="s">
        <v>388</v>
      </c>
      <c r="N313" s="33">
        <v>0</v>
      </c>
      <c r="O313" s="51" cm="1">
        <f t="array" aca="1" ref="O313" ca="1">IF(K313="SI",IF(N313&lt;&gt;0,(INDIRECT(M313)*N313)/L313,0),0)</f>
        <v>0</v>
      </c>
      <c r="P313" s="51" cm="1">
        <f t="array" aca="1" ref="P313" ca="1">IF(N313&lt;&gt;0,(INDIRECT(M313)*N313)/L313,0)</f>
        <v>0</v>
      </c>
      <c r="Q313" s="38">
        <v>3</v>
      </c>
      <c r="R313" s="57"/>
      <c r="S313" s="57"/>
      <c r="T313" s="8"/>
    </row>
    <row r="314" spans="1:20" s="56" customFormat="1" outlineLevel="4">
      <c r="A314" s="43">
        <v>0</v>
      </c>
      <c r="B314" s="41" t="s">
        <v>62</v>
      </c>
      <c r="C314" s="41" t="s">
        <v>440</v>
      </c>
      <c r="D314" s="25" t="str">
        <f t="shared" ref="D314:D394" si="237">IFERROR(VLOOKUP(C314,Todos,2,FALSE),"")</f>
        <v></v>
      </c>
      <c r="E314" s="42" t="s">
        <v>441</v>
      </c>
      <c r="F314" s="43">
        <v>120</v>
      </c>
      <c r="G314" s="28">
        <f t="shared" ref="G314:G328" si="238">H313</f>
        <v>45208.375000000044</v>
      </c>
      <c r="H314" s="28">
        <f t="shared" si="234"/>
        <v>45208.458333333379</v>
      </c>
      <c r="I314" s="29" t="s">
        <v>88</v>
      </c>
      <c r="J314" s="30"/>
      <c r="K314" s="31" t="s">
        <v>27</v>
      </c>
      <c r="L314" s="32">
        <v>1</v>
      </c>
      <c r="M314" s="31" t="s">
        <v>388</v>
      </c>
      <c r="N314" s="33">
        <v>0</v>
      </c>
      <c r="O314" s="51" cm="1">
        <f t="array" aca="1" ref="O314" ca="1">IF(K314="SI",IF(N314&lt;&gt;0,(INDIRECT(M314)*N314)/L314,0),0)</f>
        <v>0</v>
      </c>
      <c r="P314" s="51" cm="1">
        <f t="array" aca="1" ref="P314" ca="1">IF(N314&lt;&gt;0,(INDIRECT(M314)*N314)/L314,0)</f>
        <v>0</v>
      </c>
      <c r="Q314" s="38">
        <v>3</v>
      </c>
      <c r="R314" s="57"/>
      <c r="S314" s="57"/>
      <c r="T314" s="8"/>
    </row>
    <row r="315" spans="1:20" s="56" customFormat="1" outlineLevel="4">
      <c r="A315" s="43">
        <v>0</v>
      </c>
      <c r="B315" s="41" t="s">
        <v>62</v>
      </c>
      <c r="C315" s="41" t="s">
        <v>89</v>
      </c>
      <c r="D315" s="25" t="str">
        <f t="shared" ref="D315:D395" si="239">IFERROR(VLOOKUP(C315,Todos,2,FALSE),"")</f>
        <v></v>
      </c>
      <c r="E315" s="42" t="s">
        <v>442</v>
      </c>
      <c r="F315" s="43">
        <v>60</v>
      </c>
      <c r="G315" s="28">
        <f t="shared" si="238"/>
        <v>45208.458333333379</v>
      </c>
      <c r="H315" s="28">
        <f t="shared" si="234"/>
        <v>45208.500000000044</v>
      </c>
      <c r="I315" s="29" t="s">
        <v>88</v>
      </c>
      <c r="J315" s="30"/>
      <c r="K315" s="31" t="s">
        <v>27</v>
      </c>
      <c r="L315" s="32">
        <v>1</v>
      </c>
      <c r="M315" s="31" t="s">
        <v>388</v>
      </c>
      <c r="N315" s="33">
        <v>0</v>
      </c>
      <c r="O315" s="51" cm="1">
        <f t="array" aca="1" ref="O315" ca="1">IF(K315="SI",IF(N315&lt;&gt;0,(INDIRECT(M315)*N315)/L315,0),0)</f>
        <v>0</v>
      </c>
      <c r="P315" s="51" cm="1">
        <f t="array" aca="1" ref="P315" ca="1">IF(N315&lt;&gt;0,(INDIRECT(M315)*N315)/L315,0)</f>
        <v>0</v>
      </c>
      <c r="Q315" s="38">
        <v>3</v>
      </c>
      <c r="R315" s="57"/>
      <c r="S315" s="57"/>
      <c r="T315" s="8"/>
    </row>
    <row r="316" spans="1:20" s="56" customFormat="1" outlineLevel="4">
      <c r="A316" s="43">
        <v>0</v>
      </c>
      <c r="B316" s="41" t="s">
        <v>62</v>
      </c>
      <c r="C316" s="41" t="s">
        <v>260</v>
      </c>
      <c r="D316" s="25" t="str">
        <f t="shared" ref="D316:D396" si="240">IFERROR(VLOOKUP(C316,Todos,2,FALSE),"")</f>
        <v></v>
      </c>
      <c r="E316" s="42" t="s">
        <v>443</v>
      </c>
      <c r="F316" s="43">
        <v>60</v>
      </c>
      <c r="G316" s="28">
        <f t="shared" si="238"/>
        <v>45208.500000000044</v>
      </c>
      <c r="H316" s="28">
        <f t="shared" si="234"/>
        <v>45208.541666666708</v>
      </c>
      <c r="I316" s="29" t="s">
        <v>88</v>
      </c>
      <c r="J316" s="30"/>
      <c r="K316" s="31" t="s">
        <v>27</v>
      </c>
      <c r="L316" s="32">
        <v>1</v>
      </c>
      <c r="M316" s="31" t="s">
        <v>388</v>
      </c>
      <c r="N316" s="33">
        <v>0</v>
      </c>
      <c r="O316" s="51" cm="1">
        <f t="array" aca="1" ref="O316" ca="1">IF(K316="SI",IF(N316&lt;&gt;0,(INDIRECT(M316)*N316)/L316,0),0)</f>
        <v>0</v>
      </c>
      <c r="P316" s="51" cm="1">
        <f t="array" aca="1" ref="P316" ca="1">IF(N316&lt;&gt;0,(INDIRECT(M316)*N316)/L316,0)</f>
        <v>0</v>
      </c>
      <c r="Q316" s="38">
        <v>3</v>
      </c>
      <c r="R316" s="57"/>
      <c r="S316" s="57"/>
      <c r="T316" s="8"/>
    </row>
    <row r="317" spans="1:20" s="56" customFormat="1" outlineLevel="4">
      <c r="A317" s="43">
        <v>0</v>
      </c>
      <c r="B317" s="41" t="s">
        <v>71</v>
      </c>
      <c r="C317" s="41" t="s">
        <v>95</v>
      </c>
      <c r="D317" s="25" t="str">
        <f t="shared" ref="D317:D397" si="241">IFERROR(VLOOKUP(C317,Todos,2,FALSE),"")</f>
        <v></v>
      </c>
      <c r="E317" s="42" t="s">
        <v>95</v>
      </c>
      <c r="F317" s="43">
        <v>60</v>
      </c>
      <c r="G317" s="28">
        <f t="shared" si="238"/>
        <v>45208.541666666708</v>
      </c>
      <c r="H317" s="28">
        <f t="shared" si="234"/>
        <v>45208.583333333372</v>
      </c>
      <c r="I317" s="29" t="s">
        <v>255</v>
      </c>
      <c r="J317" s="30"/>
      <c r="K317" s="31" t="s">
        <v>27</v>
      </c>
      <c r="L317" s="32">
        <v>1</v>
      </c>
      <c r="M317" s="31" t="s">
        <v>388</v>
      </c>
      <c r="N317" s="33">
        <v>0</v>
      </c>
      <c r="O317" s="51" cm="1">
        <f t="array" aca="1" ref="O317" ca="1">IF(K317="SI",IF(N317&lt;&gt;0,(INDIRECT(M317)*N317)/L317,0),0)</f>
        <v>0</v>
      </c>
      <c r="P317" s="51" cm="1">
        <f t="array" aca="1" ref="P317" ca="1">IF(N317&lt;&gt;0,(INDIRECT(M317)*N317)/L317,0)</f>
        <v>0</v>
      </c>
      <c r="Q317" s="38">
        <v>3</v>
      </c>
      <c r="R317" s="57"/>
      <c r="S317" s="57"/>
      <c r="T317" s="8"/>
    </row>
    <row r="318" spans="1:20" s="56" customFormat="1" outlineLevel="4">
      <c r="A318" s="43">
        <v>0</v>
      </c>
      <c r="B318" s="41" t="s">
        <v>62</v>
      </c>
      <c r="C318" s="41" t="s">
        <v>89</v>
      </c>
      <c r="D318" s="25" t="str">
        <f t="shared" ref="D318:D398" si="242">IFERROR(VLOOKUP(C318,Todos,2,FALSE),"")</f>
        <v></v>
      </c>
      <c r="E318" s="42" t="s">
        <v>444</v>
      </c>
      <c r="F318" s="43">
        <v>150</v>
      </c>
      <c r="G318" s="28">
        <f t="shared" si="238"/>
        <v>45208.583333333372</v>
      </c>
      <c r="H318" s="28">
        <f t="shared" si="234"/>
        <v>45208.687500000036</v>
      </c>
      <c r="I318" s="60" t="s">
        <v>88</v>
      </c>
      <c r="J318" s="30"/>
      <c r="K318" s="31" t="s">
        <v>27</v>
      </c>
      <c r="L318" s="32">
        <v>1</v>
      </c>
      <c r="M318" s="31" t="s">
        <v>388</v>
      </c>
      <c r="N318" s="33">
        <v>0</v>
      </c>
      <c r="O318" s="51" cm="1">
        <f t="array" aca="1" ref="O318" ca="1">IF(K318="SI",IF(N318&lt;&gt;0,(INDIRECT(M318)*N318)/L318,0),0)</f>
        <v>0</v>
      </c>
      <c r="P318" s="51" cm="1">
        <f t="array" aca="1" ref="P318" ca="1">IF(N318&lt;&gt;0,(INDIRECT(M318)*N318)/L318,0)</f>
        <v>0</v>
      </c>
      <c r="Q318" s="38">
        <v>3</v>
      </c>
      <c r="R318" s="57"/>
      <c r="S318" s="57"/>
      <c r="T318" s="8"/>
    </row>
    <row r="319" spans="1:20" s="56" customFormat="1" outlineLevel="4">
      <c r="A319" s="43">
        <v>0</v>
      </c>
      <c r="B319" s="41" t="s">
        <v>38</v>
      </c>
      <c r="C319" s="41" t="s">
        <v>253</v>
      </c>
      <c r="D319" s="25" t="str">
        <f t="shared" ref="D319:D399" si="243">IFERROR(VLOOKUP(C319,Todos,2,FALSE),"")</f>
        <v></v>
      </c>
      <c r="E319" s="42" t="s">
        <v>445</v>
      </c>
      <c r="F319" s="43">
        <v>10</v>
      </c>
      <c r="G319" s="28">
        <f t="shared" si="238"/>
        <v>45208.687500000036</v>
      </c>
      <c r="H319" s="28">
        <f t="shared" si="234"/>
        <v>45208.694444444482</v>
      </c>
      <c r="I319" s="60" t="s">
        <v>446</v>
      </c>
      <c r="J319" s="30"/>
      <c r="K319" s="31" t="s">
        <v>27</v>
      </c>
      <c r="L319" s="32">
        <v>1</v>
      </c>
      <c r="M319" s="31" t="s">
        <v>388</v>
      </c>
      <c r="N319" s="33">
        <v>0</v>
      </c>
      <c r="O319" s="51" cm="1">
        <f t="array" aca="1" ref="O319" ca="1">IF(K319="SI",IF(N319&lt;&gt;0,(INDIRECT(M319)*N319)/L319,0),0)</f>
        <v>0</v>
      </c>
      <c r="P319" s="51" cm="1">
        <f t="array" aca="1" ref="P319" ca="1">IF(N319&lt;&gt;0,(INDIRECT(M319)*N319)/L319,0)</f>
        <v>0</v>
      </c>
      <c r="Q319" s="38">
        <v>3</v>
      </c>
      <c r="R319" s="57"/>
      <c r="S319" s="57"/>
      <c r="T319" s="8"/>
    </row>
    <row r="320" spans="1:20" s="56" customFormat="1" ht="31.5" outlineLevel="4">
      <c r="A320" s="43">
        <v>0</v>
      </c>
      <c r="B320" s="41" t="s">
        <v>62</v>
      </c>
      <c r="C320" s="41" t="s">
        <v>63</v>
      </c>
      <c r="D320" s="25" t="str">
        <f t="shared" ref="D320:D400" si="244">IFERROR(VLOOKUP(C320,Todos,2,FALSE),"")</f>
        <v></v>
      </c>
      <c r="E320" s="42" t="s">
        <v>447</v>
      </c>
      <c r="F320" s="43">
        <v>20</v>
      </c>
      <c r="G320" s="28">
        <f t="shared" si="238"/>
        <v>45208.694444444482</v>
      </c>
      <c r="H320" s="28">
        <f t="shared" si="234"/>
        <v>45208.708333333372</v>
      </c>
      <c r="I320" s="60" t="s">
        <v>448</v>
      </c>
      <c r="J320" s="30"/>
      <c r="K320" s="31" t="s">
        <v>27</v>
      </c>
      <c r="L320" s="32">
        <v>6</v>
      </c>
      <c r="M320" s="31" t="s">
        <v>28</v>
      </c>
      <c r="N320" s="33">
        <v>386047</v>
      </c>
      <c r="O320" s="51" t="e" cm="1">
        <f t="array" aca="1" ref="O320" ca="1">IF(K320="SI",IF(N320&lt;&gt;0,(INDIRECT(M320)*N320)/L320,0),0)</f>
        <v>#REF!</v>
      </c>
      <c r="P320" s="51" t="e" cm="1">
        <f t="array" aca="1" ref="P320" ca="1">IF(N320&lt;&gt;0,(INDIRECT(M320)*N320)/L320,0)</f>
        <v>#REF!</v>
      </c>
      <c r="Q320" s="38">
        <v>3</v>
      </c>
      <c r="R320" s="8" t="s">
        <v>379</v>
      </c>
      <c r="S320" s="8" t="s">
        <v>382</v>
      </c>
      <c r="T320" s="8"/>
    </row>
    <row r="321" spans="1:20" s="56" customFormat="1" outlineLevel="4">
      <c r="A321" s="43">
        <v>1</v>
      </c>
      <c r="B321" s="41" t="s">
        <v>24</v>
      </c>
      <c r="C321" s="41" t="s">
        <v>25</v>
      </c>
      <c r="D321" s="25" t="str">
        <f t="shared" ref="D321:D401" si="245">IFERROR(VLOOKUP(C321,Todos,2,FALSE),"")</f>
        <v></v>
      </c>
      <c r="E321" s="42" t="s">
        <v>449</v>
      </c>
      <c r="F321" s="43">
        <v>0</v>
      </c>
      <c r="G321" s="28">
        <f t="shared" si="238"/>
        <v>45208.708333333372</v>
      </c>
      <c r="H321" s="28">
        <f t="shared" si="234"/>
        <v>45208.708333333372</v>
      </c>
      <c r="I321" s="60" t="s">
        <v>450</v>
      </c>
      <c r="J321" s="30"/>
      <c r="K321" s="31"/>
      <c r="L321" s="32"/>
      <c r="M321" s="31"/>
      <c r="N321" s="33"/>
      <c r="O321" s="51" cm="1">
        <f t="array" aca="1" ref="O321" ca="1">IF(K321="SI",IF(N321&lt;&gt;0,(INDIRECT(M321)*N321)/L321,0),0)</f>
        <v>0</v>
      </c>
      <c r="P321" s="51" cm="1">
        <f t="array" aca="1" ref="P321" ca="1">IF(N321&lt;&gt;0,(INDIRECT(M321)*N321)/L321,0)</f>
        <v>0</v>
      </c>
      <c r="Q321" s="38">
        <v>3</v>
      </c>
      <c r="R321" s="8" t="s">
        <v>379</v>
      </c>
      <c r="S321" s="8"/>
      <c r="T321" s="8"/>
    </row>
    <row r="322" spans="1:20" s="56" customFormat="1" outlineLevel="4">
      <c r="A322" s="43">
        <v>0</v>
      </c>
      <c r="B322" s="41" t="s">
        <v>24</v>
      </c>
      <c r="C322" s="41" t="s">
        <v>37</v>
      </c>
      <c r="D322" s="25" t="str">
        <f t="shared" ref="D322:D402" si="246">IFERROR(VLOOKUP(C322,Todos,2,FALSE),"")</f>
        <v></v>
      </c>
      <c r="E322" s="42" t="s">
        <v>37</v>
      </c>
      <c r="F322" s="43">
        <v>55</v>
      </c>
      <c r="G322" s="28">
        <f t="shared" si="238"/>
        <v>45208.708333333372</v>
      </c>
      <c r="H322" s="28">
        <f t="shared" si="234"/>
        <v>45208.746527777817</v>
      </c>
      <c r="I322" s="60"/>
      <c r="J322" s="30"/>
      <c r="K322" s="31"/>
      <c r="L322" s="32"/>
      <c r="M322" s="31"/>
      <c r="N322" s="33"/>
      <c r="O322" s="51" cm="1">
        <f t="array" aca="1" ref="O322" ca="1">IF(K322="SI",IF(N322&lt;&gt;0,(INDIRECT(M322)*N322)/L322,0),0)</f>
        <v>0</v>
      </c>
      <c r="P322" s="51" cm="1">
        <f t="array" aca="1" ref="P322" ca="1">IF(N322&lt;&gt;0,(INDIRECT(M322)*N322)/L322,0)</f>
        <v>0</v>
      </c>
      <c r="Q322" s="38">
        <v>3</v>
      </c>
      <c r="R322" s="8"/>
      <c r="S322" s="8"/>
      <c r="T322" s="8"/>
    </row>
    <row r="323" spans="1:20" s="56" customFormat="1" outlineLevel="4">
      <c r="A323" s="43">
        <v>0</v>
      </c>
      <c r="B323" s="41" t="s">
        <v>38</v>
      </c>
      <c r="C323" s="41" t="s">
        <v>60</v>
      </c>
      <c r="D323" s="25" t="str">
        <f t="shared" ref="D323:D403" si="247">IFERROR(VLOOKUP(C323,Todos,2,FALSE),"")</f>
        <v></v>
      </c>
      <c r="E323" s="42" t="s">
        <v>451</v>
      </c>
      <c r="F323" s="43">
        <v>5</v>
      </c>
      <c r="G323" s="28">
        <f t="shared" si="238"/>
        <v>45208.746527777817</v>
      </c>
      <c r="H323" s="28">
        <f t="shared" si="234"/>
        <v>45208.750000000036</v>
      </c>
      <c r="I323" s="60"/>
      <c r="J323" s="30">
        <v>0.4</v>
      </c>
      <c r="K323" s="31"/>
      <c r="L323" s="32"/>
      <c r="M323" s="31"/>
      <c r="N323" s="33"/>
      <c r="O323" s="51" cm="1">
        <f t="array" aca="1" ref="O323" ca="1">IF(K323="SI",IF(N323&lt;&gt;0,(INDIRECT(M323)*N323)/L323,0),0)</f>
        <v>0</v>
      </c>
      <c r="P323" s="51" cm="1">
        <f t="array" aca="1" ref="P323" ca="1">IF(N323&lt;&gt;0,(INDIRECT(M323)*N323)/L323,0)</f>
        <v>0</v>
      </c>
      <c r="Q323" s="38">
        <v>3</v>
      </c>
      <c r="R323" s="8"/>
      <c r="S323" s="8"/>
      <c r="T323" s="8"/>
    </row>
    <row r="324" spans="1:20" s="56" customFormat="1" outlineLevel="4">
      <c r="A324" s="43">
        <v>0</v>
      </c>
      <c r="B324" s="41" t="s">
        <v>24</v>
      </c>
      <c r="C324" s="41" t="s">
        <v>83</v>
      </c>
      <c r="D324" s="25" t="str">
        <f t="shared" ref="D324:D404" si="248">IFERROR(VLOOKUP(C324,Todos,2,FALSE),"")</f>
        <v></v>
      </c>
      <c r="E324" s="42" t="s">
        <v>452</v>
      </c>
      <c r="F324" s="43">
        <v>0</v>
      </c>
      <c r="G324" s="28">
        <f t="shared" si="238"/>
        <v>45208.750000000036</v>
      </c>
      <c r="H324" s="28">
        <f t="shared" si="234"/>
        <v>45208.750000000036</v>
      </c>
      <c r="I324" s="60" t="s">
        <v>453</v>
      </c>
      <c r="J324" s="30"/>
      <c r="K324" s="31" t="s">
        <v>58</v>
      </c>
      <c r="L324" s="32">
        <v>1</v>
      </c>
      <c r="M324" s="31" t="s">
        <v>385</v>
      </c>
      <c r="N324" s="33">
        <v>15</v>
      </c>
      <c r="O324" s="51" cm="1">
        <f t="array" aca="1" ref="O324" ca="1">IF(K324="SI",IF(N324&lt;&gt;0,(INDIRECT(M324)*N324)/L324,0),0)</f>
        <v>0</v>
      </c>
      <c r="P324" s="51" t="e" cm="1">
        <f t="array" aca="1" ref="P324" ca="1">IF(N324&lt;&gt;0,(INDIRECT(M324)*N324)/L324,0)</f>
        <v>#REF!</v>
      </c>
      <c r="Q324" s="38">
        <v>3</v>
      </c>
      <c r="R324" s="8" t="s">
        <v>379</v>
      </c>
      <c r="S324" s="8" t="s">
        <v>382</v>
      </c>
      <c r="T324" s="8"/>
    </row>
    <row r="325" spans="1:20" s="56" customFormat="1" outlineLevel="4">
      <c r="A325" s="43">
        <v>0</v>
      </c>
      <c r="B325" s="41" t="s">
        <v>62</v>
      </c>
      <c r="C325" s="41" t="s">
        <v>89</v>
      </c>
      <c r="D325" s="25" t="str">
        <f t="shared" ref="D325:D405" si="249">IFERROR(VLOOKUP(C325,Todos,2,FALSE),"")</f>
        <v></v>
      </c>
      <c r="E325" s="42" t="s">
        <v>454</v>
      </c>
      <c r="F325" s="43">
        <v>120</v>
      </c>
      <c r="G325" s="28">
        <f t="shared" si="238"/>
        <v>45208.750000000036</v>
      </c>
      <c r="H325" s="28">
        <f t="shared" si="234"/>
        <v>45208.833333333372</v>
      </c>
      <c r="I325" s="60" t="s">
        <v>455</v>
      </c>
      <c r="J325" s="30"/>
      <c r="K325" s="31" t="s">
        <v>58</v>
      </c>
      <c r="L325" s="32">
        <v>1</v>
      </c>
      <c r="M325" s="31" t="s">
        <v>388</v>
      </c>
      <c r="N325" s="33">
        <v>260</v>
      </c>
      <c r="O325" s="51" cm="1">
        <f t="array" aca="1" ref="O325" ca="1">IF(K325="SI",IF(N325&lt;&gt;0,(INDIRECT(M325)*N325)/L325,0),0)</f>
        <v>0</v>
      </c>
      <c r="P325" s="51" t="e" cm="1">
        <f t="array" aca="1" ref="P325" ca="1">IF(N325&lt;&gt;0,(INDIRECT(M325)*N325)/L325,0)</f>
        <v>#REF!</v>
      </c>
      <c r="Q325" s="38">
        <v>3</v>
      </c>
      <c r="R325" s="8"/>
      <c r="S325" s="8"/>
      <c r="T325" s="8"/>
    </row>
    <row r="326" spans="1:20" s="56" customFormat="1" hidden="1" outlineLevel="4">
      <c r="A326" s="43">
        <v>0</v>
      </c>
      <c r="B326" s="41" t="s">
        <v>71</v>
      </c>
      <c r="C326" s="41" t="s">
        <v>72</v>
      </c>
      <c r="D326" s="25" t="str">
        <f t="shared" ref="D326:D406" si="250">IFERROR(VLOOKUP(C326,Todos,2,FALSE),"")</f>
        <v></v>
      </c>
      <c r="E326" s="42" t="s">
        <v>456</v>
      </c>
      <c r="F326" s="43">
        <v>90</v>
      </c>
      <c r="G326" s="28">
        <f t="shared" si="238"/>
        <v>45208.833333333372</v>
      </c>
      <c r="H326" s="28">
        <f t="shared" si="234"/>
        <v>45208.895833333372</v>
      </c>
      <c r="I326" s="29" t="s">
        <v>457</v>
      </c>
      <c r="J326" s="30"/>
      <c r="K326" s="31" t="s">
        <v>58</v>
      </c>
      <c r="L326" s="32">
        <v>1</v>
      </c>
      <c r="M326" s="31" t="s">
        <v>388</v>
      </c>
      <c r="N326" s="33">
        <v>400</v>
      </c>
      <c r="O326" s="51" cm="1">
        <f t="array" aca="1" ref="O326" ca="1">IF(K326="SI",IF(N326&lt;&gt;0,(INDIRECT(M326)*N326)/L326,0),0)</f>
        <v>0</v>
      </c>
      <c r="P326" s="51" t="e" cm="1">
        <f t="array" aca="1" ref="P326" ca="1">IF(N326&lt;&gt;0,(INDIRECT(M326)*N326)/L326,0)</f>
        <v>#REF!</v>
      </c>
      <c r="Q326" s="38">
        <v>3</v>
      </c>
      <c r="R326" s="8"/>
      <c r="S326" s="8"/>
      <c r="T326" s="8"/>
    </row>
    <row r="327" spans="1:20" s="56" customFormat="1" hidden="1" outlineLevel="4">
      <c r="A327" s="43">
        <v>0</v>
      </c>
      <c r="B327" s="41" t="s">
        <v>24</v>
      </c>
      <c r="C327" s="41" t="s">
        <v>68</v>
      </c>
      <c r="D327" s="25" t="str">
        <f t="shared" ref="D327:D407" si="251">IFERROR(VLOOKUP(C327,Todos,2,FALSE),"")</f>
        <v></v>
      </c>
      <c r="E327" s="42" t="s">
        <v>458</v>
      </c>
      <c r="F327" s="43">
        <v>0</v>
      </c>
      <c r="G327" s="28">
        <f t="shared" si="238"/>
        <v>45208.895833333372</v>
      </c>
      <c r="H327" s="28">
        <f t="shared" si="234"/>
        <v>45208.895833333372</v>
      </c>
      <c r="I327" s="29" t="s">
        <v>459</v>
      </c>
      <c r="J327" s="30"/>
      <c r="K327" s="31"/>
      <c r="L327" s="32"/>
      <c r="M327" s="31"/>
      <c r="N327" s="33"/>
      <c r="O327" s="51" cm="1">
        <f t="array" aca="1" ref="O327" ca="1">IF(K327="SI",IF(N327&lt;&gt;0,(INDIRECT(M327)*N327)/L327,0),0)</f>
        <v>0</v>
      </c>
      <c r="P327" s="51" cm="1">
        <f t="array" aca="1" ref="P327" ca="1">IF(N327&lt;&gt;0,(INDIRECT(M327)*N327)/L327,0)</f>
        <v>0</v>
      </c>
      <c r="Q327" s="38">
        <v>3</v>
      </c>
      <c r="R327" s="8"/>
      <c r="S327" s="8"/>
      <c r="T327" s="8"/>
    </row>
    <row r="328" spans="1:20" s="56" customFormat="1" hidden="1" outlineLevel="4">
      <c r="A328" s="43">
        <v>0</v>
      </c>
      <c r="B328" s="41" t="s">
        <v>24</v>
      </c>
      <c r="C328" s="41" t="s">
        <v>37</v>
      </c>
      <c r="D328" s="25" t="str">
        <f t="shared" ref="D328:D408" si="252">IFERROR(VLOOKUP(C328,Todos,2,FALSE),"")</f>
        <v></v>
      </c>
      <c r="E328" s="42" t="s">
        <v>37</v>
      </c>
      <c r="F328" s="43">
        <v>150</v>
      </c>
      <c r="G328" s="28">
        <f t="shared" si="238"/>
        <v>45208.895833333372</v>
      </c>
      <c r="H328" s="28">
        <f t="shared" si="234"/>
        <v>45209.000000000036</v>
      </c>
      <c r="I328" s="29"/>
      <c r="J328" s="30"/>
      <c r="K328" s="31"/>
      <c r="L328" s="32"/>
      <c r="M328" s="31"/>
      <c r="N328" s="33"/>
      <c r="O328" s="51" cm="1">
        <f t="array" aca="1" ref="O328" ca="1">IF(K328="SI",IF(N328&lt;&gt;0,(INDIRECT(M328)*N328)/L328,0),0)</f>
        <v>0</v>
      </c>
      <c r="P328" s="51" cm="1">
        <f t="array" aca="1" ref="P328" ca="1">IF(N328&lt;&gt;0,(INDIRECT(M328)*N328)/L328,0)</f>
        <v>0</v>
      </c>
      <c r="Q328" s="38">
        <v>3</v>
      </c>
      <c r="R328" s="8"/>
      <c r="S328" s="8"/>
      <c r="T328" s="8"/>
    </row>
    <row r="329" spans="1:20" s="56" customFormat="1" outlineLevel="3">
      <c r="A329" s="43">
        <v>0</v>
      </c>
      <c r="B329" s="41" t="s">
        <v>15</v>
      </c>
      <c r="C329" s="41" t="s">
        <v>22</v>
      </c>
      <c r="D329" s="25" t="str">
        <f t="shared" ref="D329:D409" si="253">IFERROR(VLOOKUP(C329,Todos,2,FALSE),"")</f>
        <v></v>
      </c>
      <c r="E329" s="55" t="s">
        <v>460</v>
      </c>
      <c r="F329" s="43">
        <f>SUM(F330:F332)</f>
        <v>390</v>
      </c>
      <c r="G329" s="28">
        <f>H328</f>
        <v>45209.000000000036</v>
      </c>
      <c r="H329" s="28">
        <f t="shared" si="234"/>
        <v>45209.270833333372</v>
      </c>
      <c r="I329" s="29" t="str">
        <f>PROPER(TEXT(G329,"dddd"))</f>
        <v>Martes</v>
      </c>
      <c r="J329" s="30">
        <f>SUM(J330:J332)</f>
        <v>0</v>
      </c>
      <c r="K329" s="31"/>
      <c r="L329" s="32"/>
      <c r="M329" s="31"/>
      <c r="N329" s="33"/>
      <c r="O329" s="51">
        <f ca="1">SUM(O330:O332)</f>
        <v>0</v>
      </c>
      <c r="P329" s="51" t="e">
        <f ca="1">SUM(P330:P332)</f>
        <v>#REF!</v>
      </c>
      <c r="Q329" s="38">
        <f>AVERAGE(Q330:Q332)</f>
        <v>3</v>
      </c>
      <c r="R329" s="8"/>
      <c r="S329" s="8"/>
      <c r="T329" s="8"/>
    </row>
    <row r="330" spans="1:20" s="56" customFormat="1" outlineLevel="4">
      <c r="A330" s="43">
        <v>0</v>
      </c>
      <c r="B330" s="41" t="s">
        <v>24</v>
      </c>
      <c r="C330" s="41" t="s">
        <v>37</v>
      </c>
      <c r="D330" s="25" t="str">
        <f t="shared" si="253"/>
        <v></v>
      </c>
      <c r="E330" s="42" t="s">
        <v>37</v>
      </c>
      <c r="F330" s="43">
        <v>270</v>
      </c>
      <c r="G330" s="28">
        <f>H328</f>
        <v>45209.000000000036</v>
      </c>
      <c r="H330" s="28">
        <f t="shared" si="234"/>
        <v>45209.187500000036</v>
      </c>
      <c r="I330" s="29"/>
      <c r="J330" s="30"/>
      <c r="K330" s="31"/>
      <c r="L330" s="32"/>
      <c r="M330" s="31"/>
      <c r="N330" s="33"/>
      <c r="O330" s="51" cm="1">
        <f t="array" aca="1" ref="O330" ca="1">IF(K330="SI",IF(N330&lt;&gt;0,(INDIRECT(M330)*N330)/L330,0),0)</f>
        <v>0</v>
      </c>
      <c r="P330" s="51" cm="1">
        <f t="array" aca="1" ref="P330" ca="1">IF(N330&lt;&gt;0,(INDIRECT(M330)*N330)/L330,0)</f>
        <v>0</v>
      </c>
      <c r="Q330" s="38">
        <v>3</v>
      </c>
      <c r="R330" s="8"/>
      <c r="S330" s="8"/>
      <c r="T330" s="8"/>
    </row>
    <row r="331" spans="1:20" s="56" customFormat="1" outlineLevel="4">
      <c r="A331" s="43">
        <v>0</v>
      </c>
      <c r="B331" s="41" t="s">
        <v>38</v>
      </c>
      <c r="C331" s="41" t="s">
        <v>39</v>
      </c>
      <c r="D331" s="25" t="str">
        <f t="shared" ref="D331:D411" si="254">IFERROR(VLOOKUP(C331,Todos,2,FALSE),"")</f>
        <v></v>
      </c>
      <c r="E331" s="42" t="s">
        <v>279</v>
      </c>
      <c r="F331" s="43">
        <v>30</v>
      </c>
      <c r="G331" s="28">
        <f>H330</f>
        <v>45209.187500000036</v>
      </c>
      <c r="H331" s="28">
        <f t="shared" si="234"/>
        <v>45209.208333333372</v>
      </c>
      <c r="I331" s="29" t="s">
        <v>416</v>
      </c>
      <c r="J331" s="30"/>
      <c r="K331" s="31" t="s">
        <v>58</v>
      </c>
      <c r="L331" s="32">
        <v>6</v>
      </c>
      <c r="M331" s="31" t="s">
        <v>385</v>
      </c>
      <c r="N331" s="33">
        <v>24</v>
      </c>
      <c r="O331" s="51" cm="1">
        <f t="array" aca="1" ref="O331" ca="1">IF(K331="SI",IF(N331&lt;&gt;0,(INDIRECT(M331)*N331)/L331,0),0)</f>
        <v>0</v>
      </c>
      <c r="P331" s="51" t="e" cm="1">
        <f t="array" aca="1" ref="P331" ca="1">IF(N331&lt;&gt;0,(INDIRECT(M331)*N331)/L331,0)</f>
        <v>#REF!</v>
      </c>
      <c r="Q331" s="38">
        <v>3</v>
      </c>
      <c r="R331" s="8" t="s">
        <v>379</v>
      </c>
      <c r="S331" s="8" t="s">
        <v>382</v>
      </c>
      <c r="T331" s="8"/>
    </row>
    <row r="332" spans="1:20" s="56" customFormat="1" outlineLevel="4">
      <c r="A332" s="43">
        <v>0</v>
      </c>
      <c r="B332" s="41" t="s">
        <v>42</v>
      </c>
      <c r="C332" s="41" t="s">
        <v>281</v>
      </c>
      <c r="D332" s="25" t="str">
        <f t="shared" ref="D332:D412" si="255">IFERROR(VLOOKUP(C332,Todos,2,FALSE),"")</f>
        <v></v>
      </c>
      <c r="E332" s="42" t="s">
        <v>282</v>
      </c>
      <c r="F332" s="43">
        <v>90</v>
      </c>
      <c r="G332" s="28">
        <f t="shared" ref="G332" si="256">H331</f>
        <v>45209.208333333372</v>
      </c>
      <c r="H332" s="28">
        <f t="shared" si="234"/>
        <v>45209.270833333372</v>
      </c>
      <c r="I332" s="29" t="s">
        <v>283</v>
      </c>
      <c r="J332" s="30"/>
      <c r="K332" s="31"/>
      <c r="L332" s="32"/>
      <c r="M332" s="31"/>
      <c r="N332" s="33"/>
      <c r="O332" s="51" cm="1">
        <f t="array" aca="1" ref="O332" ca="1">IF(K332="SI",IF(N332&lt;&gt;0,(INDIRECT(M332)*N332)/L332,0),0)</f>
        <v>0</v>
      </c>
      <c r="P332" s="51" cm="1">
        <f t="array" aca="1" ref="P332" ca="1">IF(N332&lt;&gt;0,(INDIRECT(M332)*N332)/L332,0)</f>
        <v>0</v>
      </c>
      <c r="Q332" s="38">
        <v>3</v>
      </c>
      <c r="R332" s="8" t="s">
        <v>379</v>
      </c>
      <c r="S332" s="8" t="s">
        <v>382</v>
      </c>
      <c r="T332" s="8"/>
    </row>
    <row r="333" spans="1:20" s="56" customFormat="1" ht="42" outlineLevel="2">
      <c r="A333" s="43">
        <v>2</v>
      </c>
      <c r="B333" s="41" t="s">
        <v>38</v>
      </c>
      <c r="C333" s="41" t="s">
        <v>46</v>
      </c>
      <c r="D333" s="25" t="str">
        <f t="shared" ref="D333:D413" si="257">IFERROR(VLOOKUP(C333,Todos,2,FALSE),"")</f>
        <v></v>
      </c>
      <c r="E333" s="42" t="s">
        <v>461</v>
      </c>
      <c r="F333" s="43">
        <v>70</v>
      </c>
      <c r="G333" s="28">
        <f>H332</f>
        <v>45209.270833333372</v>
      </c>
      <c r="H333" s="28">
        <f t="shared" si="234"/>
        <v>45209.319444444482</v>
      </c>
      <c r="I333" s="29" t="s">
        <v>462</v>
      </c>
      <c r="J333" s="30"/>
      <c r="K333" s="31" t="s">
        <v>27</v>
      </c>
      <c r="L333" s="32">
        <v>6</v>
      </c>
      <c r="M333" s="31" t="s">
        <v>28</v>
      </c>
      <c r="N333" s="33">
        <v>2307587</v>
      </c>
      <c r="O333" s="51" t="e" cm="1">
        <f t="array" aca="1" ref="O333" ca="1">IF(K333="SI",IF(N333&lt;&gt;0,(INDIRECT(M333)*N333)/L333,0),0)</f>
        <v>#REF!</v>
      </c>
      <c r="P333" s="51" t="e" cm="1">
        <f t="array" aca="1" ref="P333" ca="1">IF(N333&lt;&gt;0,(INDIRECT(M333)*N333)/L333,0)</f>
        <v>#REF!</v>
      </c>
      <c r="Q333" s="38">
        <v>3</v>
      </c>
      <c r="R333" s="8" t="s">
        <v>379</v>
      </c>
      <c r="S333" s="8" t="s">
        <v>379</v>
      </c>
      <c r="T333" s="8"/>
    </row>
    <row r="334" spans="1:20" s="56" customFormat="1" outlineLevel="2">
      <c r="A334" s="43">
        <v>0</v>
      </c>
      <c r="B334" s="41" t="s">
        <v>15</v>
      </c>
      <c r="C334" s="41" t="s">
        <v>20</v>
      </c>
      <c r="D334" s="25" t="str">
        <f t="shared" ref="D334:D414" si="258">IFERROR(VLOOKUP(C334,Todos,2,FALSE),"")</f>
        <v></v>
      </c>
      <c r="E334" s="42" t="s">
        <v>374</v>
      </c>
      <c r="F334" s="43">
        <f>F335+F350+F366</f>
        <v>2965</v>
      </c>
      <c r="G334" s="28">
        <f>H333</f>
        <v>45209.319444444482</v>
      </c>
      <c r="H334" s="28">
        <f t="shared" si="234"/>
        <v>45211.378472222263</v>
      </c>
      <c r="I334" s="29" t="str">
        <f>PROPER(TEXT(G334,"dddd")) &amp; " - Días Totales: " &amp; ROUND(F334/1440,0)</f>
        <v>Martes - Días Totales: 2</v>
      </c>
      <c r="J334" s="30">
        <f>J335+J350+J366</f>
        <v>8.6</v>
      </c>
      <c r="K334" s="31"/>
      <c r="L334" s="32"/>
      <c r="M334" s="31"/>
      <c r="N334" s="33"/>
      <c r="O334" s="51" t="e">
        <f ca="1">O335+O350+O366</f>
        <v>#REF!</v>
      </c>
      <c r="P334" s="51" t="e">
        <f ca="1">P335+P350+P366</f>
        <v>#REF!</v>
      </c>
      <c r="Q334" s="38">
        <f>AVERAGE(Q335,Q350,Q366)</f>
        <v>3</v>
      </c>
      <c r="R334" s="8"/>
      <c r="S334" s="8"/>
      <c r="T334" s="8"/>
    </row>
    <row r="335" spans="1:20" s="56" customFormat="1" outlineLevel="3">
      <c r="A335" s="43">
        <v>0</v>
      </c>
      <c r="B335" s="41" t="s">
        <v>15</v>
      </c>
      <c r="C335" s="41" t="s">
        <v>22</v>
      </c>
      <c r="D335" s="25" t="str">
        <f t="shared" si="258"/>
        <v></v>
      </c>
      <c r="E335" s="55" t="s">
        <v>463</v>
      </c>
      <c r="F335" s="43">
        <f>SUM(F336:F349)</f>
        <v>980</v>
      </c>
      <c r="G335" s="28">
        <f>H333</f>
        <v>45209.319444444482</v>
      </c>
      <c r="H335" s="28">
        <f t="shared" si="234"/>
        <v>45210.000000000036</v>
      </c>
      <c r="I335" s="29" t="str">
        <f>PROPER(TEXT(G335,"dddd"))</f>
        <v>Martes</v>
      </c>
      <c r="J335" s="30">
        <f>SUM(J336:J349)</f>
        <v>8.6</v>
      </c>
      <c r="K335" s="31"/>
      <c r="L335" s="32"/>
      <c r="M335" s="31"/>
      <c r="N335" s="33"/>
      <c r="O335" s="51" t="e">
        <f ca="1">SUM(O336:O349)</f>
        <v>#REF!</v>
      </c>
      <c r="P335" s="51" t="e">
        <f ca="1">SUM(P336:P349)</f>
        <v>#REF!</v>
      </c>
      <c r="Q335" s="38">
        <f>AVERAGE(Q336:Q349)</f>
        <v>3</v>
      </c>
      <c r="R335" s="8"/>
      <c r="S335" s="8"/>
      <c r="T335" s="8"/>
    </row>
    <row r="336" spans="1:20" s="56" customFormat="1" outlineLevel="4">
      <c r="A336" s="43">
        <v>0</v>
      </c>
      <c r="B336" s="41" t="s">
        <v>42</v>
      </c>
      <c r="C336" s="41" t="s">
        <v>288</v>
      </c>
      <c r="D336" s="25" t="str">
        <f t="shared" si="258"/>
        <v></v>
      </c>
      <c r="E336" s="42" t="s">
        <v>288</v>
      </c>
      <c r="F336" s="43">
        <v>30</v>
      </c>
      <c r="G336" s="28">
        <f>H333</f>
        <v>45209.319444444482</v>
      </c>
      <c r="H336" s="28">
        <f t="shared" si="234"/>
        <v>45209.340277777817</v>
      </c>
      <c r="I336" s="29"/>
      <c r="J336" s="30"/>
      <c r="K336" s="31"/>
      <c r="L336" s="32"/>
      <c r="M336" s="31"/>
      <c r="N336" s="33"/>
      <c r="O336" s="51" cm="1">
        <f t="array" aca="1" ref="O336" ca="1">IF(K336="SI",IF(N336&lt;&gt;0,(INDIRECT(M336)*N336)/L336,0),0)</f>
        <v>0</v>
      </c>
      <c r="P336" s="51" cm="1">
        <f t="array" aca="1" ref="P336" ca="1">IF(N336&lt;&gt;0,(INDIRECT(M336)*N336)/L336,0)</f>
        <v>0</v>
      </c>
      <c r="Q336" s="38">
        <v>3</v>
      </c>
      <c r="R336" s="8"/>
      <c r="S336" s="8"/>
      <c r="T336" s="8"/>
    </row>
    <row r="337" spans="1:20" s="56" customFormat="1" ht="31.5" outlineLevel="4">
      <c r="A337" s="43">
        <v>0</v>
      </c>
      <c r="B337" s="41" t="s">
        <v>24</v>
      </c>
      <c r="C337" s="41" t="s">
        <v>83</v>
      </c>
      <c r="D337" s="25" t="str">
        <f>IFERROR(VLOOKUP(C337,Todos,2,FALSE),"")</f>
        <v></v>
      </c>
      <c r="E337" s="42" t="s">
        <v>464</v>
      </c>
      <c r="F337" s="43">
        <v>510</v>
      </c>
      <c r="G337" s="28">
        <f>H336</f>
        <v>45209.340277777817</v>
      </c>
      <c r="H337" s="28">
        <f t="shared" si="234"/>
        <v>45209.694444444482</v>
      </c>
      <c r="I337" s="29" t="s">
        <v>465</v>
      </c>
      <c r="J337" s="30"/>
      <c r="K337" s="31" t="s">
        <v>27</v>
      </c>
      <c r="L337" s="32">
        <v>6</v>
      </c>
      <c r="M337" s="31" t="s">
        <v>28</v>
      </c>
      <c r="N337" s="33">
        <v>374296</v>
      </c>
      <c r="O337" s="51" t="e" cm="1">
        <f t="array" aca="1" ref="O337" ca="1">IF(K337="SI",IF(N337&lt;&gt;0,(INDIRECT(M337)*N337)/L337,0),0)</f>
        <v>#REF!</v>
      </c>
      <c r="P337" s="51" t="e" cm="1">
        <f t="array" aca="1" ref="P337" ca="1">IF(N337&lt;&gt;0,(INDIRECT(M337)*N337)/L337,0)</f>
        <v>#REF!</v>
      </c>
      <c r="Q337" s="38">
        <v>3</v>
      </c>
      <c r="R337" s="57" t="s">
        <v>391</v>
      </c>
      <c r="S337" s="57" t="s">
        <v>391</v>
      </c>
      <c r="T337" s="8"/>
    </row>
    <row r="338" spans="1:20" s="56" customFormat="1" outlineLevel="4">
      <c r="A338" s="43">
        <v>0</v>
      </c>
      <c r="B338" s="41" t="s">
        <v>71</v>
      </c>
      <c r="C338" s="41" t="s">
        <v>75</v>
      </c>
      <c r="D338" s="25" t="str">
        <f t="shared" ref="D338:D459" si="259">IFERROR(VLOOKUP(C338,Todos,2,FALSE),"")</f>
        <v></v>
      </c>
      <c r="E338" s="42" t="s">
        <v>466</v>
      </c>
      <c r="F338" s="43">
        <v>0</v>
      </c>
      <c r="G338" s="28">
        <f t="shared" ref="G338:G349" si="260">H337</f>
        <v>45209.694444444482</v>
      </c>
      <c r="H338" s="28">
        <f t="shared" si="234"/>
        <v>45209.694444444482</v>
      </c>
      <c r="I338" s="29" t="s">
        <v>467</v>
      </c>
      <c r="J338" s="30"/>
      <c r="K338" s="31" t="s">
        <v>58</v>
      </c>
      <c r="L338" s="32">
        <v>1</v>
      </c>
      <c r="M338" s="31" t="s">
        <v>388</v>
      </c>
      <c r="N338" s="33">
        <v>300</v>
      </c>
      <c r="O338" s="51" cm="1">
        <f t="array" aca="1" ref="O338" ca="1">IF(K338="SI",IF(N338&lt;&gt;0,(INDIRECT(M338)*N338)/L338,0),0)</f>
        <v>0</v>
      </c>
      <c r="P338" s="51" t="e" cm="1">
        <f t="array" aca="1" ref="P338" ca="1">IF(N338&lt;&gt;0,(INDIRECT(M338)*N338)/L338,0)</f>
        <v>#REF!</v>
      </c>
      <c r="Q338" s="38">
        <v>3</v>
      </c>
      <c r="R338" s="57"/>
      <c r="S338" s="57"/>
      <c r="T338" s="8"/>
    </row>
    <row r="339" spans="1:20" s="56" customFormat="1" ht="21" outlineLevel="4">
      <c r="A339" s="43">
        <v>0</v>
      </c>
      <c r="B339" s="41" t="s">
        <v>62</v>
      </c>
      <c r="C339" s="41" t="s">
        <v>102</v>
      </c>
      <c r="D339" s="25" t="str">
        <f t="shared" ref="D339:D460" si="261">IFERROR(VLOOKUP(C339,Todos,2,FALSE),"")</f>
        <v></v>
      </c>
      <c r="E339" s="42" t="s">
        <v>468</v>
      </c>
      <c r="F339" s="43">
        <v>0</v>
      </c>
      <c r="G339" s="28">
        <f t="shared" si="260"/>
        <v>45209.694444444482</v>
      </c>
      <c r="H339" s="28">
        <f t="shared" si="234"/>
        <v>45209.694444444482</v>
      </c>
      <c r="I339" s="29" t="s">
        <v>469</v>
      </c>
      <c r="J339" s="30">
        <v>2</v>
      </c>
      <c r="K339" s="31" t="s">
        <v>27</v>
      </c>
      <c r="L339" s="32">
        <v>6</v>
      </c>
      <c r="M339" s="31" t="s">
        <v>28</v>
      </c>
      <c r="N339" s="33">
        <v>239980</v>
      </c>
      <c r="O339" s="51" t="e" cm="1">
        <f t="array" aca="1" ref="O339" ca="1">IF(K339="SI",IF(N339&lt;&gt;0,(INDIRECT(M339)*N339)/L339,0),0)</f>
        <v>#REF!</v>
      </c>
      <c r="P339" s="51" t="e" cm="1">
        <f t="array" aca="1" ref="P339" ca="1">IF(N339&lt;&gt;0,(INDIRECT(M339)*N339)/L339,0)</f>
        <v>#REF!</v>
      </c>
      <c r="Q339" s="38">
        <v>3</v>
      </c>
      <c r="R339" s="57"/>
      <c r="S339" s="57"/>
      <c r="T339" s="8"/>
    </row>
    <row r="340" spans="1:20" s="56" customFormat="1" ht="31.5" outlineLevel="4">
      <c r="A340" s="43">
        <v>0</v>
      </c>
      <c r="B340" s="41" t="s">
        <v>71</v>
      </c>
      <c r="C340" s="41" t="s">
        <v>95</v>
      </c>
      <c r="D340" s="25" t="str">
        <f t="shared" ref="D340:D461" si="262">IFERROR(VLOOKUP(C340,Todos,2,FALSE),"")</f>
        <v></v>
      </c>
      <c r="E340" s="42" t="s">
        <v>95</v>
      </c>
      <c r="F340" s="43">
        <v>0</v>
      </c>
      <c r="G340" s="28">
        <f t="shared" si="260"/>
        <v>45209.694444444482</v>
      </c>
      <c r="H340" s="28">
        <f t="shared" si="234"/>
        <v>45209.694444444482</v>
      </c>
      <c r="I340" s="29" t="s">
        <v>470</v>
      </c>
      <c r="J340" s="30"/>
      <c r="K340" s="31" t="s">
        <v>58</v>
      </c>
      <c r="L340" s="32">
        <v>1</v>
      </c>
      <c r="M340" s="31" t="s">
        <v>388</v>
      </c>
      <c r="N340" s="33">
        <v>100</v>
      </c>
      <c r="O340" s="51" cm="1">
        <f t="array" aca="1" ref="O340" ca="1">IF(K340="SI",IF(N340&lt;&gt;0,(INDIRECT(M340)*N340)/L340,0),0)</f>
        <v>0</v>
      </c>
      <c r="P340" s="51" t="e" cm="1">
        <f t="array" aca="1" ref="P340" ca="1">IF(N340&lt;&gt;0,(INDIRECT(M340)*N340)/L340,0)</f>
        <v>#REF!</v>
      </c>
      <c r="Q340" s="38">
        <v>3</v>
      </c>
      <c r="R340" s="57"/>
      <c r="S340" s="57"/>
      <c r="T340" s="8"/>
    </row>
    <row r="341" spans="1:20" s="56" customFormat="1" ht="21" outlineLevel="4">
      <c r="A341" s="43">
        <v>0</v>
      </c>
      <c r="B341" s="41" t="s">
        <v>62</v>
      </c>
      <c r="C341" s="41" t="s">
        <v>89</v>
      </c>
      <c r="D341" s="25" t="str">
        <f t="shared" ref="D341:D462" si="263">IFERROR(VLOOKUP(C341,Todos,2,FALSE),"")</f>
        <v></v>
      </c>
      <c r="E341" s="42" t="s">
        <v>471</v>
      </c>
      <c r="F341" s="43">
        <v>0</v>
      </c>
      <c r="G341" s="28">
        <f t="shared" si="260"/>
        <v>45209.694444444482</v>
      </c>
      <c r="H341" s="28">
        <f t="shared" si="234"/>
        <v>45209.694444444482</v>
      </c>
      <c r="I341" s="29" t="s">
        <v>472</v>
      </c>
      <c r="J341" s="30">
        <v>2</v>
      </c>
      <c r="K341" s="31" t="s">
        <v>58</v>
      </c>
      <c r="L341" s="32">
        <v>1</v>
      </c>
      <c r="M341" s="31" t="s">
        <v>388</v>
      </c>
      <c r="N341" s="33">
        <v>300</v>
      </c>
      <c r="O341" s="51" cm="1">
        <f t="array" aca="1" ref="O341" ca="1">IF(K341="SI",IF(N341&lt;&gt;0,(INDIRECT(M341)*N341)/L341,0),0)</f>
        <v>0</v>
      </c>
      <c r="P341" s="51" t="e" cm="1">
        <f t="array" aca="1" ref="P341" ca="1">IF(N341&lt;&gt;0,(INDIRECT(M341)*N341)/L341,0)</f>
        <v>#REF!</v>
      </c>
      <c r="Q341" s="38">
        <v>3</v>
      </c>
      <c r="R341" s="57"/>
      <c r="S341" s="57"/>
      <c r="T341" s="8"/>
    </row>
    <row r="342" spans="1:20" s="56" customFormat="1" outlineLevel="4">
      <c r="A342" s="43">
        <v>0</v>
      </c>
      <c r="B342" s="41" t="s">
        <v>62</v>
      </c>
      <c r="C342" s="41" t="s">
        <v>135</v>
      </c>
      <c r="D342" s="25" t="str">
        <f t="shared" ref="D342:D463" si="264">IFERROR(VLOOKUP(C342,Todos,2,FALSE),"")</f>
        <v></v>
      </c>
      <c r="E342" s="42" t="s">
        <v>473</v>
      </c>
      <c r="F342" s="43">
        <v>0</v>
      </c>
      <c r="G342" s="28">
        <f t="shared" si="260"/>
        <v>45209.694444444482</v>
      </c>
      <c r="H342" s="28">
        <f t="shared" si="234"/>
        <v>45209.694444444482</v>
      </c>
      <c r="I342" s="29" t="s">
        <v>474</v>
      </c>
      <c r="J342" s="30">
        <v>2</v>
      </c>
      <c r="K342" s="31" t="s">
        <v>27</v>
      </c>
      <c r="L342" s="32">
        <v>1</v>
      </c>
      <c r="M342" s="31" t="s">
        <v>388</v>
      </c>
      <c r="N342" s="33">
        <v>0</v>
      </c>
      <c r="O342" s="51" cm="1">
        <f t="array" aca="1" ref="O342" ca="1">IF(K342="SI",IF(N342&lt;&gt;0,(INDIRECT(M342)*N342)/L342,0),0)</f>
        <v>0</v>
      </c>
      <c r="P342" s="51" cm="1">
        <f t="array" aca="1" ref="P342" ca="1">IF(N342&lt;&gt;0,(INDIRECT(M342)*N342)/L342,0)</f>
        <v>0</v>
      </c>
      <c r="Q342" s="38">
        <v>3</v>
      </c>
      <c r="R342" s="57"/>
      <c r="S342" s="57"/>
      <c r="T342" s="8"/>
    </row>
    <row r="343" spans="1:20" s="56" customFormat="1" outlineLevel="4">
      <c r="A343" s="43">
        <v>0</v>
      </c>
      <c r="B343" s="41" t="s">
        <v>38</v>
      </c>
      <c r="C343" s="41" t="s">
        <v>39</v>
      </c>
      <c r="D343" s="25" t="str">
        <f t="shared" ref="D343:D464" si="265">IFERROR(VLOOKUP(C343,Todos,2,FALSE),"")</f>
        <v></v>
      </c>
      <c r="E343" s="42" t="s">
        <v>475</v>
      </c>
      <c r="F343" s="43">
        <v>0</v>
      </c>
      <c r="G343" s="28">
        <f t="shared" si="260"/>
        <v>45209.694444444482</v>
      </c>
      <c r="H343" s="28">
        <f t="shared" si="234"/>
        <v>45209.694444444482</v>
      </c>
      <c r="I343" s="29" t="s">
        <v>474</v>
      </c>
      <c r="J343" s="30"/>
      <c r="K343" s="31" t="s">
        <v>27</v>
      </c>
      <c r="L343" s="32">
        <v>1</v>
      </c>
      <c r="M343" s="31" t="s">
        <v>388</v>
      </c>
      <c r="N343" s="33">
        <v>0</v>
      </c>
      <c r="O343" s="51" cm="1">
        <f t="array" aca="1" ref="O343" ca="1">IF(K343="SI",IF(N343&lt;&gt;0,(INDIRECT(M343)*N343)/L343,0),0)</f>
        <v>0</v>
      </c>
      <c r="P343" s="51" cm="1">
        <f t="array" aca="1" ref="P343" ca="1">IF(N343&lt;&gt;0,(INDIRECT(M343)*N343)/L343,0)</f>
        <v>0</v>
      </c>
      <c r="Q343" s="38">
        <v>3</v>
      </c>
      <c r="R343" s="57"/>
      <c r="S343" s="57"/>
      <c r="T343" s="8"/>
    </row>
    <row r="344" spans="1:20" s="56" customFormat="1" ht="31.5" outlineLevel="4">
      <c r="A344" s="43">
        <v>0</v>
      </c>
      <c r="B344" s="41" t="s">
        <v>62</v>
      </c>
      <c r="C344" s="41" t="s">
        <v>63</v>
      </c>
      <c r="D344" s="25" t="str">
        <f>IFERROR(VLOOKUP(C344,Todos,2,FALSE),"")</f>
        <v></v>
      </c>
      <c r="E344" s="42" t="s">
        <v>383</v>
      </c>
      <c r="F344" s="43">
        <v>20</v>
      </c>
      <c r="G344" s="28">
        <f t="shared" si="260"/>
        <v>45209.694444444482</v>
      </c>
      <c r="H344" s="28">
        <f t="shared" si="234"/>
        <v>45209.708333333372</v>
      </c>
      <c r="I344" s="29" t="s">
        <v>476</v>
      </c>
      <c r="J344" s="30"/>
      <c r="K344" s="31" t="s">
        <v>58</v>
      </c>
      <c r="L344" s="32">
        <v>6</v>
      </c>
      <c r="M344" s="31" t="s">
        <v>385</v>
      </c>
      <c r="N344" s="33">
        <v>329.52</v>
      </c>
      <c r="O344" s="51" cm="1">
        <f t="array" aca="1" ref="O344" ca="1">IF(K344="SI",IF(N344&lt;&gt;0,(INDIRECT(M344)*N344)/L344,0),0)</f>
        <v>0</v>
      </c>
      <c r="P344" s="51" t="e" cm="1">
        <f t="array" aca="1" ref="P344" ca="1">IF(N344&lt;&gt;0,(INDIRECT(M344)*N344)/L344,0)</f>
        <v>#REF!</v>
      </c>
      <c r="Q344" s="38">
        <v>3</v>
      </c>
      <c r="R344" s="8" t="s">
        <v>379</v>
      </c>
      <c r="S344" s="8" t="s">
        <v>382</v>
      </c>
      <c r="T344" s="8"/>
    </row>
    <row r="345" spans="1:20" s="56" customFormat="1" hidden="1" outlineLevel="4">
      <c r="A345" s="43">
        <v>0</v>
      </c>
      <c r="B345" s="41" t="s">
        <v>24</v>
      </c>
      <c r="C345" s="41" t="s">
        <v>37</v>
      </c>
      <c r="D345" s="25" t="str">
        <f t="shared" ref="D345:D466" si="266">IFERROR(VLOOKUP(C345,Todos,2,FALSE),"")</f>
        <v></v>
      </c>
      <c r="E345" s="42" t="s">
        <v>37</v>
      </c>
      <c r="F345" s="43">
        <v>160</v>
      </c>
      <c r="G345" s="28">
        <f t="shared" si="260"/>
        <v>45209.708333333372</v>
      </c>
      <c r="H345" s="28">
        <f t="shared" si="234"/>
        <v>45209.819444444482</v>
      </c>
      <c r="I345" s="29"/>
      <c r="J345" s="30"/>
      <c r="K345" s="31"/>
      <c r="L345" s="32"/>
      <c r="M345" s="31"/>
      <c r="N345" s="33"/>
      <c r="O345" s="51" cm="1">
        <f t="array" aca="1" ref="O345" ca="1">IF(K345="SI",IF(N345&lt;&gt;0,(INDIRECT(M345)*N345)/L345,0),0)</f>
        <v>0</v>
      </c>
      <c r="P345" s="51" cm="1">
        <f t="array" aca="1" ref="P345" ca="1">IF(N345&lt;&gt;0,(INDIRECT(M345)*N345)/L345,0)</f>
        <v>0</v>
      </c>
      <c r="Q345" s="38">
        <v>3</v>
      </c>
      <c r="R345" s="8"/>
      <c r="S345" s="8"/>
      <c r="T345" s="8"/>
    </row>
    <row r="346" spans="1:20" s="56" customFormat="1" hidden="1" outlineLevel="4">
      <c r="A346" s="43">
        <v>0</v>
      </c>
      <c r="B346" s="41" t="s">
        <v>38</v>
      </c>
      <c r="C346" s="41" t="s">
        <v>60</v>
      </c>
      <c r="D346" s="25" t="str">
        <f t="shared" ref="D346:D467" si="267">IFERROR(VLOOKUP(C346,Todos,2,FALSE),"")</f>
        <v></v>
      </c>
      <c r="E346" s="42" t="s">
        <v>477</v>
      </c>
      <c r="F346" s="43">
        <v>20</v>
      </c>
      <c r="G346" s="28">
        <f t="shared" si="260"/>
        <v>45209.819444444482</v>
      </c>
      <c r="H346" s="28">
        <f t="shared" si="234"/>
        <v>45209.833333333372</v>
      </c>
      <c r="I346" s="29"/>
      <c r="J346" s="30">
        <v>1.3</v>
      </c>
      <c r="K346" s="31"/>
      <c r="L346" s="32"/>
      <c r="M346" s="31"/>
      <c r="N346" s="33"/>
      <c r="O346" s="51" cm="1">
        <f t="array" aca="1" ref="O346" ca="1">IF(K346="SI",IF(N346&lt;&gt;0,(INDIRECT(M346)*N346)/L346,0),0)</f>
        <v>0</v>
      </c>
      <c r="P346" s="51" cm="1">
        <f t="array" aca="1" ref="P346" ca="1">IF(N346&lt;&gt;0,(INDIRECT(M346)*N346)/L346,0)</f>
        <v>0</v>
      </c>
      <c r="Q346" s="38">
        <v>3</v>
      </c>
      <c r="R346" s="8"/>
      <c r="S346" s="8"/>
      <c r="T346" s="8"/>
    </row>
    <row r="347" spans="1:20" s="56" customFormat="1" hidden="1" outlineLevel="4">
      <c r="A347" s="43">
        <v>0</v>
      </c>
      <c r="B347" s="41" t="s">
        <v>71</v>
      </c>
      <c r="C347" s="41" t="s">
        <v>72</v>
      </c>
      <c r="D347" s="25" t="str">
        <f t="shared" ref="D347:D468" si="268">IFERROR(VLOOKUP(C347,Todos,2,FALSE),"")</f>
        <v></v>
      </c>
      <c r="E347" s="42" t="s">
        <v>478</v>
      </c>
      <c r="F347" s="43">
        <v>90</v>
      </c>
      <c r="G347" s="28">
        <f t="shared" si="260"/>
        <v>45209.833333333372</v>
      </c>
      <c r="H347" s="28">
        <f t="shared" si="234"/>
        <v>45209.895833333372</v>
      </c>
      <c r="I347" s="29" t="s">
        <v>479</v>
      </c>
      <c r="J347" s="30"/>
      <c r="K347" s="31" t="s">
        <v>58</v>
      </c>
      <c r="L347" s="32">
        <v>1</v>
      </c>
      <c r="M347" s="31" t="s">
        <v>388</v>
      </c>
      <c r="N347" s="33">
        <v>400</v>
      </c>
      <c r="O347" s="51" cm="1">
        <f t="array" aca="1" ref="O347" ca="1">IF(K347="SI",IF(N347&lt;&gt;0,(INDIRECT(M347)*N347)/L347,0),0)</f>
        <v>0</v>
      </c>
      <c r="P347" s="51" t="e" cm="1">
        <f t="array" aca="1" ref="P347" ca="1">IF(N347&lt;&gt;0,(INDIRECT(M347)*N347)/L347,0)</f>
        <v>#REF!</v>
      </c>
      <c r="Q347" s="38">
        <v>3</v>
      </c>
      <c r="R347" s="8"/>
      <c r="S347" s="8"/>
      <c r="T347" s="8"/>
    </row>
    <row r="348" spans="1:20" s="56" customFormat="1" hidden="1" outlineLevel="4">
      <c r="A348" s="43">
        <v>0</v>
      </c>
      <c r="B348" s="41" t="s">
        <v>38</v>
      </c>
      <c r="C348" s="41" t="s">
        <v>60</v>
      </c>
      <c r="D348" s="25" t="str">
        <f t="shared" ref="D348:D469" si="269">IFERROR(VLOOKUP(C348,Todos,2,FALSE),"")</f>
        <v></v>
      </c>
      <c r="E348" s="42" t="s">
        <v>480</v>
      </c>
      <c r="F348" s="43">
        <v>20</v>
      </c>
      <c r="G348" s="28">
        <f t="shared" si="260"/>
        <v>45209.895833333372</v>
      </c>
      <c r="H348" s="28">
        <f t="shared" si="234"/>
        <v>45209.909722222263</v>
      </c>
      <c r="I348" s="29"/>
      <c r="J348" s="30">
        <v>1.3</v>
      </c>
      <c r="K348" s="31"/>
      <c r="L348" s="32"/>
      <c r="M348" s="31"/>
      <c r="N348" s="33"/>
      <c r="O348" s="51" cm="1">
        <f t="array" aca="1" ref="O348" ca="1">IF(K348="SI",IF(N348&lt;&gt;0,(INDIRECT(M348)*N348)/L348,0),0)</f>
        <v>0</v>
      </c>
      <c r="P348" s="51" cm="1">
        <f t="array" aca="1" ref="P348" ca="1">IF(N348&lt;&gt;0,(INDIRECT(M348)*N348)/L348,0)</f>
        <v>0</v>
      </c>
      <c r="Q348" s="38">
        <v>3</v>
      </c>
      <c r="R348" s="8"/>
      <c r="S348" s="8"/>
      <c r="T348" s="8"/>
    </row>
    <row r="349" spans="1:20" s="56" customFormat="1" hidden="1" outlineLevel="4">
      <c r="A349" s="43">
        <v>0</v>
      </c>
      <c r="B349" s="41" t="s">
        <v>24</v>
      </c>
      <c r="C349" s="41" t="s">
        <v>37</v>
      </c>
      <c r="D349" s="25" t="str">
        <f t="shared" ref="D349:D470" si="270">IFERROR(VLOOKUP(C349,Todos,2,FALSE),"")</f>
        <v></v>
      </c>
      <c r="E349" s="42" t="s">
        <v>37</v>
      </c>
      <c r="F349" s="43">
        <v>130</v>
      </c>
      <c r="G349" s="28">
        <f t="shared" si="260"/>
        <v>45209.909722222263</v>
      </c>
      <c r="H349" s="28">
        <f t="shared" si="234"/>
        <v>45210.000000000044</v>
      </c>
      <c r="I349" s="29"/>
      <c r="J349" s="30"/>
      <c r="K349" s="31"/>
      <c r="L349" s="32"/>
      <c r="M349" s="31"/>
      <c r="N349" s="33"/>
      <c r="O349" s="51" cm="1">
        <f t="array" aca="1" ref="O349" ca="1">IF(K349="SI",IF(N349&lt;&gt;0,(INDIRECT(M349)*N349)/L349,0),0)</f>
        <v>0</v>
      </c>
      <c r="P349" s="51" cm="1">
        <f t="array" aca="1" ref="P349" ca="1">IF(N349&lt;&gt;0,(INDIRECT(M349)*N349)/L349,0)</f>
        <v>0</v>
      </c>
      <c r="Q349" s="38">
        <v>3</v>
      </c>
      <c r="R349" s="8"/>
      <c r="S349" s="8"/>
      <c r="T349" s="8"/>
    </row>
    <row r="350" spans="1:20" s="56" customFormat="1" outlineLevel="3">
      <c r="A350" s="43">
        <v>0</v>
      </c>
      <c r="B350" s="41" t="s">
        <v>15</v>
      </c>
      <c r="C350" s="41" t="s">
        <v>22</v>
      </c>
      <c r="D350" s="25" t="str">
        <f t="shared" ref="D350:D471" si="271">IFERROR(VLOOKUP(C350,Todos,2,FALSE),"")</f>
        <v></v>
      </c>
      <c r="E350" s="55" t="s">
        <v>481</v>
      </c>
      <c r="F350" s="43">
        <f>SUM(F351:F365)</f>
        <v>1440</v>
      </c>
      <c r="G350" s="28">
        <f>H349</f>
        <v>45210.000000000044</v>
      </c>
      <c r="H350" s="28">
        <f t="shared" si="234"/>
        <v>45211.000000000044</v>
      </c>
      <c r="I350" s="29" t="str">
        <f>PROPER(TEXT(G350,"dddd"))</f>
        <v>Miércoles</v>
      </c>
      <c r="J350" s="30">
        <f>SUM(J351:J365)</f>
        <v>0</v>
      </c>
      <c r="K350" s="31"/>
      <c r="L350" s="32"/>
      <c r="M350" s="31"/>
      <c r="N350" s="48"/>
      <c r="O350" s="49" t="e">
        <f ca="1">SUM(O351:O365)</f>
        <v>#REF!</v>
      </c>
      <c r="P350" s="49" t="e">
        <f ca="1">SUM(P351:P365)</f>
        <v>#REF!</v>
      </c>
      <c r="Q350" s="38">
        <f>AVERAGE(Q351:Q365)</f>
        <v>3</v>
      </c>
      <c r="R350" s="8"/>
      <c r="S350" s="8"/>
      <c r="T350" s="8"/>
    </row>
    <row r="351" spans="1:20" s="56" customFormat="1" hidden="1" outlineLevel="4">
      <c r="A351" s="43">
        <v>0</v>
      </c>
      <c r="B351" s="41" t="s">
        <v>24</v>
      </c>
      <c r="C351" s="41" t="s">
        <v>37</v>
      </c>
      <c r="D351" s="25" t="str">
        <f t="shared" si="271"/>
        <v></v>
      </c>
      <c r="E351" s="42" t="s">
        <v>37</v>
      </c>
      <c r="F351" s="43">
        <v>420</v>
      </c>
      <c r="G351" s="28">
        <f>H349</f>
        <v>45210.000000000044</v>
      </c>
      <c r="H351" s="28">
        <f t="shared" si="234"/>
        <v>45210.291666666708</v>
      </c>
      <c r="I351" s="29"/>
      <c r="J351" s="30"/>
      <c r="K351" s="31"/>
      <c r="L351" s="32"/>
      <c r="M351" s="31"/>
      <c r="N351" s="33"/>
      <c r="O351" s="51" cm="1">
        <f t="array" aca="1" ref="O351" ca="1">IF(K351="SI",IF(N351&lt;&gt;0,(INDIRECT(M351)*N351)/L351,0),0)</f>
        <v>0</v>
      </c>
      <c r="P351" s="51" cm="1">
        <f t="array" aca="1" ref="P351" ca="1">IF(N351&lt;&gt;0,(INDIRECT(M351)*N351)/L351,0)</f>
        <v>0</v>
      </c>
      <c r="Q351" s="38">
        <v>3</v>
      </c>
      <c r="R351" s="8"/>
      <c r="S351" s="8"/>
      <c r="T351" s="8"/>
    </row>
    <row r="352" spans="1:20" s="56" customFormat="1" hidden="1" outlineLevel="4">
      <c r="A352" s="43">
        <v>0</v>
      </c>
      <c r="B352" s="41" t="s">
        <v>71</v>
      </c>
      <c r="C352" s="41" t="s">
        <v>75</v>
      </c>
      <c r="D352" s="25" t="str">
        <f t="shared" ref="D352:D473" si="272">IFERROR(VLOOKUP(C352,Todos,2,FALSE),"")</f>
        <v></v>
      </c>
      <c r="E352" s="42" t="s">
        <v>75</v>
      </c>
      <c r="F352" s="43">
        <v>60</v>
      </c>
      <c r="G352" s="28">
        <f>H351</f>
        <v>45210.291666666708</v>
      </c>
      <c r="H352" s="28">
        <f t="shared" si="234"/>
        <v>45210.333333333372</v>
      </c>
      <c r="I352" s="29" t="s">
        <v>76</v>
      </c>
      <c r="J352" s="30"/>
      <c r="K352" s="31" t="s">
        <v>27</v>
      </c>
      <c r="L352" s="32">
        <v>1</v>
      </c>
      <c r="M352" s="31" t="s">
        <v>388</v>
      </c>
      <c r="N352" s="33">
        <v>0</v>
      </c>
      <c r="O352" s="51" cm="1">
        <f t="array" aca="1" ref="O352" ca="1">IF(K352="SI",IF(N352&lt;&gt;0,(INDIRECT(M352)*N352)/L352,0),0)</f>
        <v>0</v>
      </c>
      <c r="P352" s="51" cm="1">
        <f t="array" aca="1" ref="P352" ca="1">IF(N352&lt;&gt;0,(INDIRECT(M352)*N352)/L352,0)</f>
        <v>0</v>
      </c>
      <c r="Q352" s="38">
        <v>3</v>
      </c>
      <c r="R352" s="8"/>
      <c r="S352" s="8"/>
      <c r="T352" s="8"/>
    </row>
    <row r="353" spans="1:20" s="56" customFormat="1" hidden="1" outlineLevel="4">
      <c r="A353" s="43">
        <v>0</v>
      </c>
      <c r="B353" s="41" t="s">
        <v>24</v>
      </c>
      <c r="C353" s="41" t="s">
        <v>324</v>
      </c>
      <c r="D353" s="25" t="str">
        <f t="shared" ref="D353:D474" si="273">IFERROR(VLOOKUP(C353,Todos,2,FALSE),"")</f>
        <v></v>
      </c>
      <c r="E353" s="42" t="s">
        <v>482</v>
      </c>
      <c r="F353" s="43">
        <v>0</v>
      </c>
      <c r="G353" s="28">
        <f t="shared" ref="G353:G365" si="274">H352</f>
        <v>45210.333333333372</v>
      </c>
      <c r="H353" s="28">
        <f t="shared" si="234"/>
        <v>45210.333333333372</v>
      </c>
      <c r="I353" s="29" t="s">
        <v>423</v>
      </c>
      <c r="J353" s="30"/>
      <c r="K353" s="31" t="s">
        <v>27</v>
      </c>
      <c r="L353" s="32">
        <v>6</v>
      </c>
      <c r="M353" s="31" t="s">
        <v>28</v>
      </c>
      <c r="N353" s="33">
        <v>476000</v>
      </c>
      <c r="O353" s="51" t="e" cm="1">
        <f t="array" aca="1" ref="O353" ca="1">IF(K353="SI",IF(N353&lt;&gt;0,(INDIRECT(M353)*N353)/L353,0),0)</f>
        <v>#REF!</v>
      </c>
      <c r="P353" s="51" t="e" cm="1">
        <f t="array" aca="1" ref="P353" ca="1">IF(N353&lt;&gt;0,(INDIRECT(M353)*N353)/L353,0)</f>
        <v>#REF!</v>
      </c>
      <c r="Q353" s="38">
        <v>3</v>
      </c>
      <c r="R353" s="8"/>
      <c r="S353" s="8"/>
      <c r="T353" s="8"/>
    </row>
    <row r="354" spans="1:20" s="56" customFormat="1" ht="31.5" outlineLevel="4">
      <c r="A354" s="43">
        <v>0</v>
      </c>
      <c r="B354" s="41" t="s">
        <v>24</v>
      </c>
      <c r="C354" s="41" t="s">
        <v>83</v>
      </c>
      <c r="D354" s="25" t="str">
        <f t="shared" ref="D354:D475" si="275">IFERROR(VLOOKUP(C354,Todos,2,FALSE),"")</f>
        <v></v>
      </c>
      <c r="E354" s="42" t="s">
        <v>483</v>
      </c>
      <c r="F354" s="43">
        <v>540</v>
      </c>
      <c r="G354" s="28">
        <f t="shared" si="274"/>
        <v>45210.333333333372</v>
      </c>
      <c r="H354" s="28">
        <f t="shared" si="234"/>
        <v>45210.708333333372</v>
      </c>
      <c r="I354" s="29" t="s">
        <v>484</v>
      </c>
      <c r="J354" s="30"/>
      <c r="K354" s="31" t="s">
        <v>27</v>
      </c>
      <c r="L354" s="32">
        <v>1</v>
      </c>
      <c r="M354" s="31" t="s">
        <v>28</v>
      </c>
      <c r="N354" s="33">
        <f>65*3880</f>
        <v>252200</v>
      </c>
      <c r="O354" s="51" t="e" cm="1">
        <f t="array" aca="1" ref="O354" ca="1">IF(K354="SI",IF(N354&lt;&gt;0,(INDIRECT(M354)*N354)/L354,0),0)</f>
        <v>#REF!</v>
      </c>
      <c r="P354" s="51" t="e" cm="1">
        <f t="array" aca="1" ref="P354" ca="1">IF(N354&lt;&gt;0,(INDIRECT(M354)*N354)/L354,0)</f>
        <v>#REF!</v>
      </c>
      <c r="Q354" s="38">
        <v>3</v>
      </c>
      <c r="R354" s="57" t="s">
        <v>391</v>
      </c>
      <c r="S354" s="57" t="s">
        <v>391</v>
      </c>
      <c r="T354" s="8"/>
    </row>
    <row r="355" spans="1:20" s="56" customFormat="1" outlineLevel="4">
      <c r="A355" s="43">
        <v>0</v>
      </c>
      <c r="B355" s="41" t="s">
        <v>62</v>
      </c>
      <c r="C355" s="41" t="s">
        <v>260</v>
      </c>
      <c r="D355" s="25" t="str">
        <f t="shared" ref="D355:D476" si="276">IFERROR(VLOOKUP(C355,Todos,2,FALSE),"")</f>
        <v></v>
      </c>
      <c r="E355" s="42" t="s">
        <v>485</v>
      </c>
      <c r="F355" s="43">
        <v>0</v>
      </c>
      <c r="G355" s="28">
        <f t="shared" si="274"/>
        <v>45210.708333333372</v>
      </c>
      <c r="H355" s="28">
        <f t="shared" si="234"/>
        <v>45210.708333333372</v>
      </c>
      <c r="I355" s="29" t="s">
        <v>88</v>
      </c>
      <c r="J355" s="30"/>
      <c r="K355" s="31" t="s">
        <v>27</v>
      </c>
      <c r="L355" s="32">
        <v>1</v>
      </c>
      <c r="M355" s="31" t="s">
        <v>388</v>
      </c>
      <c r="N355" s="33">
        <v>0</v>
      </c>
      <c r="O355" s="51" cm="1">
        <f t="array" aca="1" ref="O355" ca="1">IF(K355="SI",IF(N355&lt;&gt;0,(INDIRECT(M355)*N355)/L355,0),0)</f>
        <v>0</v>
      </c>
      <c r="P355" s="51" cm="1">
        <f t="array" aca="1" ref="P355" ca="1">IF(N355&lt;&gt;0,(INDIRECT(M355)*N355)/L355,0)</f>
        <v>0</v>
      </c>
      <c r="Q355" s="38">
        <v>3</v>
      </c>
      <c r="R355" s="57"/>
      <c r="S355" s="57"/>
      <c r="T355" s="8"/>
    </row>
    <row r="356" spans="1:20" s="56" customFormat="1" outlineLevel="4">
      <c r="A356" s="43">
        <v>0</v>
      </c>
      <c r="B356" s="41" t="s">
        <v>62</v>
      </c>
      <c r="C356" s="41" t="s">
        <v>260</v>
      </c>
      <c r="D356" s="25" t="str">
        <f t="shared" ref="D356:D477" si="277">IFERROR(VLOOKUP(C356,Todos,2,FALSE),"")</f>
        <v></v>
      </c>
      <c r="E356" s="42" t="s">
        <v>486</v>
      </c>
      <c r="F356" s="43">
        <v>0</v>
      </c>
      <c r="G356" s="28">
        <f t="shared" si="274"/>
        <v>45210.708333333372</v>
      </c>
      <c r="H356" s="28">
        <f t="shared" si="234"/>
        <v>45210.708333333372</v>
      </c>
      <c r="I356" s="29" t="s">
        <v>88</v>
      </c>
      <c r="J356" s="30"/>
      <c r="K356" s="31" t="s">
        <v>27</v>
      </c>
      <c r="L356" s="32">
        <v>1</v>
      </c>
      <c r="M356" s="31" t="s">
        <v>388</v>
      </c>
      <c r="N356" s="33">
        <v>0</v>
      </c>
      <c r="O356" s="51" cm="1">
        <f t="array" aca="1" ref="O356" ca="1">IF(K356="SI",IF(N356&lt;&gt;0,(INDIRECT(M356)*N356)/L356,0),0)</f>
        <v>0</v>
      </c>
      <c r="P356" s="51" cm="1">
        <f t="array" aca="1" ref="P356" ca="1">IF(N356&lt;&gt;0,(INDIRECT(M356)*N356)/L356,0)</f>
        <v>0</v>
      </c>
      <c r="Q356" s="38">
        <v>3</v>
      </c>
      <c r="R356" s="57"/>
      <c r="S356" s="57"/>
      <c r="T356" s="8"/>
    </row>
    <row r="357" spans="1:20" s="56" customFormat="1" outlineLevel="4">
      <c r="A357" s="43">
        <v>0</v>
      </c>
      <c r="B357" s="41" t="s">
        <v>62</v>
      </c>
      <c r="C357" s="41" t="s">
        <v>260</v>
      </c>
      <c r="D357" s="25" t="str">
        <f t="shared" ref="D357:D478" si="278">IFERROR(VLOOKUP(C357,Todos,2,FALSE),"")</f>
        <v></v>
      </c>
      <c r="E357" s="42" t="s">
        <v>487</v>
      </c>
      <c r="F357" s="43">
        <v>0</v>
      </c>
      <c r="G357" s="28">
        <f t="shared" si="274"/>
        <v>45210.708333333372</v>
      </c>
      <c r="H357" s="28">
        <f t="shared" si="234"/>
        <v>45210.708333333372</v>
      </c>
      <c r="I357" s="29" t="s">
        <v>88</v>
      </c>
      <c r="J357" s="30"/>
      <c r="K357" s="31" t="s">
        <v>27</v>
      </c>
      <c r="L357" s="32">
        <v>1</v>
      </c>
      <c r="M357" s="31" t="s">
        <v>388</v>
      </c>
      <c r="N357" s="33">
        <v>0</v>
      </c>
      <c r="O357" s="51" cm="1">
        <f t="array" aca="1" ref="O357" ca="1">IF(K357="SI",IF(N357&lt;&gt;0,(INDIRECT(M357)*N357)/L357,0),0)</f>
        <v>0</v>
      </c>
      <c r="P357" s="51" cm="1">
        <f t="array" aca="1" ref="P357" ca="1">IF(N357&lt;&gt;0,(INDIRECT(M357)*N357)/L357,0)</f>
        <v>0</v>
      </c>
      <c r="Q357" s="38">
        <v>3</v>
      </c>
      <c r="R357" s="57"/>
      <c r="S357" s="57"/>
      <c r="T357" s="8"/>
    </row>
    <row r="358" spans="1:20" s="56" customFormat="1" outlineLevel="4">
      <c r="A358" s="43">
        <v>0</v>
      </c>
      <c r="B358" s="41" t="s">
        <v>62</v>
      </c>
      <c r="C358" s="41" t="s">
        <v>89</v>
      </c>
      <c r="D358" s="25" t="str">
        <f t="shared" ref="D358:D479" si="279">IFERROR(VLOOKUP(C358,Todos,2,FALSE),"")</f>
        <v></v>
      </c>
      <c r="E358" s="42" t="s">
        <v>488</v>
      </c>
      <c r="F358" s="43">
        <v>0</v>
      </c>
      <c r="G358" s="28">
        <f t="shared" si="274"/>
        <v>45210.708333333372</v>
      </c>
      <c r="H358" s="28">
        <f t="shared" si="234"/>
        <v>45210.708333333372</v>
      </c>
      <c r="I358" s="29" t="s">
        <v>88</v>
      </c>
      <c r="J358" s="30"/>
      <c r="K358" s="31" t="s">
        <v>27</v>
      </c>
      <c r="L358" s="32">
        <v>1</v>
      </c>
      <c r="M358" s="31" t="s">
        <v>388</v>
      </c>
      <c r="N358" s="33">
        <v>0</v>
      </c>
      <c r="O358" s="51" cm="1">
        <f t="array" aca="1" ref="O358" ca="1">IF(K358="SI",IF(N358&lt;&gt;0,(INDIRECT(M358)*N358)/L358,0),0)</f>
        <v>0</v>
      </c>
      <c r="P358" s="51" cm="1">
        <f t="array" aca="1" ref="P358" ca="1">IF(N358&lt;&gt;0,(INDIRECT(M358)*N358)/L358,0)</f>
        <v>0</v>
      </c>
      <c r="Q358" s="38">
        <v>3</v>
      </c>
      <c r="R358" s="57"/>
      <c r="S358" s="57"/>
      <c r="T358" s="8"/>
    </row>
    <row r="359" spans="1:20" s="56" customFormat="1" outlineLevel="4">
      <c r="A359" s="43">
        <v>0</v>
      </c>
      <c r="B359" s="41" t="s">
        <v>71</v>
      </c>
      <c r="C359" s="41" t="s">
        <v>95</v>
      </c>
      <c r="D359" s="25" t="str">
        <f t="shared" ref="D359:D480" si="280">IFERROR(VLOOKUP(C359,Todos,2,FALSE),"")</f>
        <v></v>
      </c>
      <c r="E359" s="42" t="s">
        <v>95</v>
      </c>
      <c r="F359" s="43">
        <v>0</v>
      </c>
      <c r="G359" s="28">
        <f t="shared" si="274"/>
        <v>45210.708333333372</v>
      </c>
      <c r="H359" s="28">
        <f t="shared" si="234"/>
        <v>45210.708333333372</v>
      </c>
      <c r="I359" s="29" t="s">
        <v>255</v>
      </c>
      <c r="J359" s="30"/>
      <c r="K359" s="31" t="s">
        <v>27</v>
      </c>
      <c r="L359" s="32">
        <v>1</v>
      </c>
      <c r="M359" s="31" t="s">
        <v>388</v>
      </c>
      <c r="N359" s="33">
        <v>0</v>
      </c>
      <c r="O359" s="51" cm="1">
        <f t="array" aca="1" ref="O359" ca="1">IF(K359="SI",IF(N359&lt;&gt;0,(INDIRECT(M359)*N359)/L359,0),0)</f>
        <v>0</v>
      </c>
      <c r="P359" s="51" cm="1">
        <f t="array" aca="1" ref="P359" ca="1">IF(N359&lt;&gt;0,(INDIRECT(M359)*N359)/L359,0)</f>
        <v>0</v>
      </c>
      <c r="Q359" s="38">
        <v>3</v>
      </c>
      <c r="R359" s="57"/>
      <c r="S359" s="57"/>
      <c r="T359" s="8"/>
    </row>
    <row r="360" spans="1:20" s="56" customFormat="1" outlineLevel="4">
      <c r="A360" s="43">
        <v>0</v>
      </c>
      <c r="B360" s="41" t="s">
        <v>62</v>
      </c>
      <c r="C360" s="41" t="s">
        <v>260</v>
      </c>
      <c r="D360" s="25" t="str">
        <f t="shared" ref="D360:D481" si="281">IFERROR(VLOOKUP(C360,Todos,2,FALSE),"")</f>
        <v></v>
      </c>
      <c r="E360" s="42" t="s">
        <v>489</v>
      </c>
      <c r="F360" s="43">
        <v>0</v>
      </c>
      <c r="G360" s="28">
        <f t="shared" si="274"/>
        <v>45210.708333333372</v>
      </c>
      <c r="H360" s="28">
        <f t="shared" si="234"/>
        <v>45210.708333333372</v>
      </c>
      <c r="I360" s="29" t="s">
        <v>88</v>
      </c>
      <c r="J360" s="30"/>
      <c r="K360" s="31" t="s">
        <v>27</v>
      </c>
      <c r="L360" s="32">
        <v>1</v>
      </c>
      <c r="M360" s="31" t="s">
        <v>388</v>
      </c>
      <c r="N360" s="33">
        <v>0</v>
      </c>
      <c r="O360" s="51" cm="1">
        <f t="array" aca="1" ref="O360" ca="1">IF(K360="SI",IF(N360&lt;&gt;0,(INDIRECT(M360)*N360)/L360,0),0)</f>
        <v>0</v>
      </c>
      <c r="P360" s="51" cm="1">
        <f t="array" aca="1" ref="P360" ca="1">IF(N360&lt;&gt;0,(INDIRECT(M360)*N360)/L360,0)</f>
        <v>0</v>
      </c>
      <c r="Q360" s="38">
        <v>3</v>
      </c>
      <c r="R360" s="57"/>
      <c r="S360" s="57"/>
      <c r="T360" s="8"/>
    </row>
    <row r="361" spans="1:20" s="56" customFormat="1" outlineLevel="4">
      <c r="A361" s="43">
        <v>0</v>
      </c>
      <c r="B361" s="41" t="s">
        <v>62</v>
      </c>
      <c r="C361" s="41" t="s">
        <v>260</v>
      </c>
      <c r="D361" s="25" t="str">
        <f t="shared" ref="D361:D482" si="282">IFERROR(VLOOKUP(C361,Todos,2,FALSE),"")</f>
        <v></v>
      </c>
      <c r="E361" s="42" t="s">
        <v>490</v>
      </c>
      <c r="F361" s="43">
        <v>0</v>
      </c>
      <c r="G361" s="28">
        <f t="shared" si="274"/>
        <v>45210.708333333372</v>
      </c>
      <c r="H361" s="28">
        <f t="shared" ref="H361:H424" si="283">G361+(F361/24)/60</f>
        <v>45210.708333333372</v>
      </c>
      <c r="I361" s="29" t="s">
        <v>491</v>
      </c>
      <c r="J361" s="30"/>
      <c r="K361" s="31" t="s">
        <v>27</v>
      </c>
      <c r="L361" s="32">
        <v>1</v>
      </c>
      <c r="M361" s="31" t="s">
        <v>388</v>
      </c>
      <c r="N361" s="33">
        <v>0</v>
      </c>
      <c r="O361" s="51" cm="1">
        <f t="array" aca="1" ref="O361" ca="1">IF(K361="SI",IF(N361&lt;&gt;0,(INDIRECT(M361)*N361)/L361,0),0)</f>
        <v>0</v>
      </c>
      <c r="P361" s="51" cm="1">
        <f t="array" aca="1" ref="P361" ca="1">IF(N361&lt;&gt;0,(INDIRECT(M361)*N361)/L361,0)</f>
        <v>0</v>
      </c>
      <c r="Q361" s="38">
        <v>3</v>
      </c>
      <c r="R361" s="57"/>
      <c r="S361" s="57"/>
      <c r="T361" s="8"/>
    </row>
    <row r="362" spans="1:20" s="56" customFormat="1" outlineLevel="4">
      <c r="A362" s="43">
        <v>0</v>
      </c>
      <c r="B362" s="41" t="s">
        <v>24</v>
      </c>
      <c r="C362" s="41" t="s">
        <v>35</v>
      </c>
      <c r="D362" s="25" t="str">
        <f t="shared" ref="D362:D483" si="284">IFERROR(VLOOKUP(C362,Todos,2,FALSE),"")</f>
        <v></v>
      </c>
      <c r="E362" s="42" t="s">
        <v>35</v>
      </c>
      <c r="F362" s="43">
        <v>120</v>
      </c>
      <c r="G362" s="28">
        <f t="shared" si="274"/>
        <v>45210.708333333372</v>
      </c>
      <c r="H362" s="28">
        <f t="shared" si="283"/>
        <v>45210.791666666708</v>
      </c>
      <c r="I362" s="29" t="s">
        <v>492</v>
      </c>
      <c r="J362" s="30"/>
      <c r="K362" s="31"/>
      <c r="L362" s="32"/>
      <c r="M362" s="31"/>
      <c r="N362" s="33"/>
      <c r="O362" s="51" cm="1">
        <f t="array" aca="1" ref="O362" ca="1">IF(K362="SI",IF(N362&lt;&gt;0,(INDIRECT(M362)*N362)/L362,0),0)</f>
        <v>0</v>
      </c>
      <c r="P362" s="51" cm="1">
        <f t="array" aca="1" ref="P362" ca="1">IF(N362&lt;&gt;0,(INDIRECT(M362)*N362)/L362,0)</f>
        <v>0</v>
      </c>
      <c r="Q362" s="38">
        <v>3</v>
      </c>
      <c r="R362" s="8"/>
      <c r="S362" s="8"/>
      <c r="T362" s="8"/>
    </row>
    <row r="363" spans="1:20" s="56" customFormat="1" hidden="1" outlineLevel="4">
      <c r="A363" s="43">
        <v>0</v>
      </c>
      <c r="B363" s="41" t="s">
        <v>71</v>
      </c>
      <c r="C363" s="41" t="s">
        <v>72</v>
      </c>
      <c r="D363" s="25" t="str">
        <f t="shared" ref="D363:D484" si="285">IFERROR(VLOOKUP(C363,Todos,2,FALSE),"")</f>
        <v></v>
      </c>
      <c r="E363" s="42" t="s">
        <v>493</v>
      </c>
      <c r="F363" s="43">
        <v>120</v>
      </c>
      <c r="G363" s="28">
        <f t="shared" si="274"/>
        <v>45210.791666666708</v>
      </c>
      <c r="H363" s="28">
        <f t="shared" si="283"/>
        <v>45210.875000000044</v>
      </c>
      <c r="I363" s="29" t="s">
        <v>494</v>
      </c>
      <c r="J363" s="30"/>
      <c r="K363" s="31" t="s">
        <v>58</v>
      </c>
      <c r="L363" s="32">
        <v>1</v>
      </c>
      <c r="M363" s="31" t="s">
        <v>388</v>
      </c>
      <c r="N363" s="33">
        <v>400</v>
      </c>
      <c r="O363" s="51" cm="1">
        <f t="array" aca="1" ref="O363" ca="1">IF(K363="SI",IF(N363&lt;&gt;0,(INDIRECT(M363)*N363)/L363,0),0)</f>
        <v>0</v>
      </c>
      <c r="P363" s="51" t="e" cm="1">
        <f t="array" aca="1" ref="P363" ca="1">IF(N363&lt;&gt;0,(INDIRECT(M363)*N363)/L363,0)</f>
        <v>#REF!</v>
      </c>
      <c r="Q363" s="38">
        <v>3</v>
      </c>
      <c r="R363" s="8"/>
      <c r="S363" s="8"/>
      <c r="T363" s="8"/>
    </row>
    <row r="364" spans="1:20" s="56" customFormat="1" hidden="1" outlineLevel="4">
      <c r="A364" s="43">
        <v>0</v>
      </c>
      <c r="B364" s="41" t="s">
        <v>38</v>
      </c>
      <c r="C364" s="41" t="s">
        <v>495</v>
      </c>
      <c r="D364" s="25" t="str">
        <f t="shared" ref="D364:D485" si="286">IFERROR(VLOOKUP(C364,Todos,2,FALSE),"")</f>
        <v></v>
      </c>
      <c r="E364" s="42" t="s">
        <v>496</v>
      </c>
      <c r="F364" s="43">
        <v>60</v>
      </c>
      <c r="G364" s="28">
        <f t="shared" si="274"/>
        <v>45210.875000000044</v>
      </c>
      <c r="H364" s="28">
        <f t="shared" si="283"/>
        <v>45210.916666666708</v>
      </c>
      <c r="I364" s="29"/>
      <c r="J364" s="30"/>
      <c r="K364" s="31" t="s">
        <v>58</v>
      </c>
      <c r="L364" s="32">
        <v>3</v>
      </c>
      <c r="M364" s="31" t="s">
        <v>388</v>
      </c>
      <c r="N364" s="33">
        <v>120</v>
      </c>
      <c r="O364" s="51" cm="1">
        <f t="array" aca="1" ref="O364" ca="1">IF(K364="SI",IF(N364&lt;&gt;0,(INDIRECT(M364)*N364)/L364,0),0)</f>
        <v>0</v>
      </c>
      <c r="P364" s="51" t="e" cm="1">
        <f t="array" aca="1" ref="P364" ca="1">IF(N364&lt;&gt;0,(INDIRECT(M364)*N364)/L364,0)</f>
        <v>#REF!</v>
      </c>
      <c r="Q364" s="38">
        <v>3</v>
      </c>
      <c r="R364" s="8"/>
      <c r="S364" s="8"/>
      <c r="T364" s="8"/>
    </row>
    <row r="365" spans="1:20" s="56" customFormat="1" hidden="1" outlineLevel="4">
      <c r="A365" s="43">
        <v>0</v>
      </c>
      <c r="B365" s="41" t="s">
        <v>24</v>
      </c>
      <c r="C365" s="41" t="s">
        <v>37</v>
      </c>
      <c r="D365" s="25" t="str">
        <f t="shared" ref="D365:D486" si="287">IFERROR(VLOOKUP(C365,Todos,2,FALSE),"")</f>
        <v></v>
      </c>
      <c r="E365" s="42" t="s">
        <v>37</v>
      </c>
      <c r="F365" s="43">
        <v>120</v>
      </c>
      <c r="G365" s="28">
        <f t="shared" si="274"/>
        <v>45210.916666666708</v>
      </c>
      <c r="H365" s="28">
        <f t="shared" si="283"/>
        <v>45211.000000000044</v>
      </c>
      <c r="I365" s="29"/>
      <c r="J365" s="30"/>
      <c r="K365" s="31"/>
      <c r="L365" s="32"/>
      <c r="M365" s="31"/>
      <c r="N365" s="33"/>
      <c r="O365" s="51" cm="1">
        <f t="array" aca="1" ref="O365" ca="1">IF(K365="SI",IF(N365&lt;&gt;0,(INDIRECT(M365)*N365)/L365,0),0)</f>
        <v>0</v>
      </c>
      <c r="P365" s="51" cm="1">
        <f t="array" aca="1" ref="P365" ca="1">IF(N365&lt;&gt;0,(INDIRECT(M365)*N365)/L365,0)</f>
        <v>0</v>
      </c>
      <c r="Q365" s="38">
        <v>3</v>
      </c>
      <c r="R365" s="8"/>
      <c r="S365" s="8"/>
      <c r="T365" s="8"/>
    </row>
    <row r="366" spans="1:20" s="56" customFormat="1" hidden="1" outlineLevel="3" collapsed="1">
      <c r="A366" s="43">
        <v>0</v>
      </c>
      <c r="B366" s="41" t="s">
        <v>15</v>
      </c>
      <c r="C366" s="41" t="s">
        <v>22</v>
      </c>
      <c r="D366" s="25" t="str">
        <f t="shared" ref="D366:D487" si="288">IFERROR(VLOOKUP(C366,Todos,2,FALSE),"")</f>
        <v></v>
      </c>
      <c r="E366" s="55" t="s">
        <v>497</v>
      </c>
      <c r="F366" s="43">
        <f>SUM(F367:F369)</f>
        <v>545</v>
      </c>
      <c r="G366" s="28">
        <f>H365</f>
        <v>45211.000000000044</v>
      </c>
      <c r="H366" s="28">
        <f t="shared" si="283"/>
        <v>45211.378472222263</v>
      </c>
      <c r="I366" s="29" t="str">
        <f>PROPER(TEXT(G366,"dddd"))</f>
        <v>Jueves</v>
      </c>
      <c r="J366" s="30">
        <f>SUM(J367:J369)</f>
        <v>0</v>
      </c>
      <c r="K366" s="31"/>
      <c r="L366" s="32"/>
      <c r="M366" s="31"/>
      <c r="N366" s="33"/>
      <c r="O366" s="51" t="e">
        <f ca="1">SUM(O367:O369)</f>
        <v>#REF!</v>
      </c>
      <c r="P366" s="51" t="e">
        <f ca="1">SUM(P367:P369)</f>
        <v>#REF!</v>
      </c>
      <c r="Q366" s="38">
        <f>AVERAGE(Q367:Q369)</f>
        <v>3</v>
      </c>
      <c r="R366" s="8"/>
      <c r="S366" s="8"/>
      <c r="T366" s="8"/>
    </row>
    <row r="367" spans="1:20" s="56" customFormat="1" hidden="1" outlineLevel="4">
      <c r="A367" s="43">
        <v>0</v>
      </c>
      <c r="B367" s="41" t="s">
        <v>24</v>
      </c>
      <c r="C367" s="41" t="s">
        <v>37</v>
      </c>
      <c r="D367" s="25" t="str">
        <f t="shared" si="288"/>
        <v></v>
      </c>
      <c r="E367" s="42" t="s">
        <v>37</v>
      </c>
      <c r="F367" s="43">
        <v>305</v>
      </c>
      <c r="G367" s="28">
        <f>H365</f>
        <v>45211.000000000044</v>
      </c>
      <c r="H367" s="28">
        <f t="shared" si="283"/>
        <v>45211.211805555598</v>
      </c>
      <c r="I367" s="29"/>
      <c r="J367" s="30"/>
      <c r="K367" s="31"/>
      <c r="L367" s="32"/>
      <c r="M367" s="31"/>
      <c r="N367" s="33"/>
      <c r="O367" s="51" cm="1">
        <f t="array" aca="1" ref="O367" ca="1">IF(K367="SI",IF(N367&lt;&gt;0,(INDIRECT(M367)*N367)/L367,0),0)</f>
        <v>0</v>
      </c>
      <c r="P367" s="51" cm="1">
        <f t="array" aca="1" ref="P367" ca="1">IF(N367&lt;&gt;0,(INDIRECT(M367)*N367)/L367,0)</f>
        <v>0</v>
      </c>
      <c r="Q367" s="38">
        <v>3</v>
      </c>
      <c r="R367" s="8"/>
      <c r="S367" s="8"/>
      <c r="T367" s="8"/>
    </row>
    <row r="368" spans="1:20" s="56" customFormat="1" hidden="1" outlineLevel="4">
      <c r="A368" s="43">
        <v>0</v>
      </c>
      <c r="B368" s="41" t="s">
        <v>38</v>
      </c>
      <c r="C368" s="41" t="s">
        <v>39</v>
      </c>
      <c r="D368" s="25" t="str">
        <f t="shared" ref="D368:D489" si="289">IFERROR(VLOOKUP(C368,Todos,2,FALSE),"")</f>
        <v></v>
      </c>
      <c r="E368" s="42" t="s">
        <v>409</v>
      </c>
      <c r="F368" s="43">
        <v>60</v>
      </c>
      <c r="G368" s="28">
        <f>H367</f>
        <v>45211.211805555598</v>
      </c>
      <c r="H368" s="28">
        <f t="shared" si="283"/>
        <v>45211.253472222263</v>
      </c>
      <c r="I368" s="29" t="s">
        <v>498</v>
      </c>
      <c r="J368" s="30"/>
      <c r="K368" s="31" t="s">
        <v>27</v>
      </c>
      <c r="L368" s="32">
        <v>3</v>
      </c>
      <c r="M368" s="31" t="s">
        <v>28</v>
      </c>
      <c r="N368" s="33">
        <v>60950</v>
      </c>
      <c r="O368" s="51" t="e" cm="1">
        <f t="array" aca="1" ref="O368" ca="1">IF(K368="SI",IF(N368&lt;&gt;0,(INDIRECT(M368)*N368)/L368,0),0)</f>
        <v>#REF!</v>
      </c>
      <c r="P368" s="51" t="e" cm="1">
        <f t="array" aca="1" ref="P368" ca="1">IF(N368&lt;&gt;0,(INDIRECT(M368)*N368)/L368,0)</f>
        <v>#REF!</v>
      </c>
      <c r="Q368" s="38">
        <v>3</v>
      </c>
      <c r="R368" s="8" t="s">
        <v>379</v>
      </c>
      <c r="S368" s="8" t="s">
        <v>379</v>
      </c>
      <c r="T368" s="8"/>
    </row>
    <row r="369" spans="1:20" s="56" customFormat="1" hidden="1" outlineLevel="4">
      <c r="A369" s="43">
        <v>0</v>
      </c>
      <c r="B369" s="41" t="s">
        <v>42</v>
      </c>
      <c r="C369" s="41" t="s">
        <v>43</v>
      </c>
      <c r="D369" s="25" t="str">
        <f t="shared" ref="D369:D490" si="290">IFERROR(VLOOKUP(C369,Todos,2,FALSE),"")</f>
        <v></v>
      </c>
      <c r="E369" s="42" t="s">
        <v>194</v>
      </c>
      <c r="F369" s="43">
        <v>180</v>
      </c>
      <c r="G369" s="28">
        <f t="shared" ref="G369:G370" si="291">H368</f>
        <v>45211.253472222263</v>
      </c>
      <c r="H369" s="28">
        <f t="shared" si="283"/>
        <v>45211.378472222263</v>
      </c>
      <c r="I369" s="29" t="s">
        <v>499</v>
      </c>
      <c r="J369" s="30"/>
      <c r="K369" s="31"/>
      <c r="L369" s="32"/>
      <c r="M369" s="31"/>
      <c r="N369" s="33"/>
      <c r="O369" s="51" cm="1">
        <f t="array" aca="1" ref="O369" ca="1">IF(K369="SI",IF(N369&lt;&gt;0,(INDIRECT(M369)*N369)/L369,0),0)</f>
        <v>0</v>
      </c>
      <c r="P369" s="51" cm="1">
        <f t="array" aca="1" ref="P369" ca="1">IF(N369&lt;&gt;0,(INDIRECT(M369)*N369)/L369,0)</f>
        <v>0</v>
      </c>
      <c r="Q369" s="38">
        <v>3</v>
      </c>
      <c r="R369" s="8"/>
      <c r="S369" s="8"/>
      <c r="T369" s="8"/>
    </row>
    <row r="370" spans="1:20" s="56" customFormat="1" ht="42" hidden="1" outlineLevel="1">
      <c r="A370" s="43">
        <v>2</v>
      </c>
      <c r="B370" s="41" t="s">
        <v>38</v>
      </c>
      <c r="C370" s="41" t="s">
        <v>46</v>
      </c>
      <c r="D370" s="25" t="str">
        <f t="shared" ref="D370:D491" si="292">IFERROR(VLOOKUP(C370,Todos,2,FALSE),"")</f>
        <v></v>
      </c>
      <c r="E370" s="42" t="s">
        <v>500</v>
      </c>
      <c r="F370" s="43">
        <v>205</v>
      </c>
      <c r="G370" s="28">
        <f t="shared" si="291"/>
        <v>45211.378472222263</v>
      </c>
      <c r="H370" s="28">
        <f t="shared" si="283"/>
        <v>45211.520833333372</v>
      </c>
      <c r="I370" s="29" t="s">
        <v>501</v>
      </c>
      <c r="J370" s="30"/>
      <c r="K370" s="31" t="s">
        <v>27</v>
      </c>
      <c r="L370" s="32">
        <v>2</v>
      </c>
      <c r="M370" s="31" t="s">
        <v>28</v>
      </c>
      <c r="N370" s="33">
        <v>1916518</v>
      </c>
      <c r="O370" s="51">
        <v>0</v>
      </c>
      <c r="P370" s="51" t="e" cm="1">
        <f t="array" aca="1" ref="P370" ca="1">IF(N370&lt;&gt;0,(INDIRECT(M370)*N370)/L370,0)</f>
        <v>#REF!</v>
      </c>
      <c r="Q370" s="38">
        <v>3</v>
      </c>
      <c r="R370" s="8" t="s">
        <v>379</v>
      </c>
      <c r="S370" s="8" t="s">
        <v>379</v>
      </c>
      <c r="T370" s="8"/>
    </row>
    <row r="371" spans="1:20" s="56" customFormat="1" hidden="1" outlineLevel="1" collapsed="1">
      <c r="A371" s="43">
        <v>0</v>
      </c>
      <c r="B371" s="41" t="s">
        <v>15</v>
      </c>
      <c r="C371" s="41" t="s">
        <v>18</v>
      </c>
      <c r="D371" s="25" t="str">
        <f t="shared" ref="D371:D492" si="293">IFERROR(VLOOKUP(C371,Todos,2,FALSE),"")</f>
        <v></v>
      </c>
      <c r="E371" s="45" t="s">
        <v>502</v>
      </c>
      <c r="F371" s="43">
        <f>F372+F387+F388</f>
        <v>6115</v>
      </c>
      <c r="G371" s="28">
        <f>H370</f>
        <v>45211.520833333372</v>
      </c>
      <c r="H371" s="28">
        <f t="shared" si="283"/>
        <v>45215.767361111153</v>
      </c>
      <c r="I371" s="29" t="str">
        <f>PROPER(TEXT(G371,"dddd")) &amp; " - Días Totales: " &amp; ROUND(F371/1440,0)</f>
        <v>Jueves - Días Totales: 4</v>
      </c>
      <c r="J371" s="30">
        <f>J372+J387+J388</f>
        <v>10.15</v>
      </c>
      <c r="K371" s="31"/>
      <c r="L371" s="32"/>
      <c r="M371" s="31"/>
      <c r="N371" s="33"/>
      <c r="O371" s="51" t="e">
        <f ca="1">O372+O387+O388</f>
        <v>#REF!</v>
      </c>
      <c r="P371" s="51" t="e">
        <f ca="1">P372+P387+P388</f>
        <v>#REF!</v>
      </c>
      <c r="Q371" s="38">
        <f>AVERAGE(Q372,Q387,Q388)</f>
        <v>3</v>
      </c>
      <c r="R371" s="8"/>
      <c r="S371" s="8"/>
      <c r="T371" s="8"/>
    </row>
    <row r="372" spans="1:20" s="56" customFormat="1" hidden="1" outlineLevel="2">
      <c r="A372" s="43">
        <v>0</v>
      </c>
      <c r="B372" s="41" t="s">
        <v>15</v>
      </c>
      <c r="C372" s="41" t="s">
        <v>20</v>
      </c>
      <c r="D372" s="25" t="str">
        <f t="shared" si="293"/>
        <v></v>
      </c>
      <c r="E372" s="42" t="s">
        <v>503</v>
      </c>
      <c r="F372" s="43">
        <f>F373</f>
        <v>425</v>
      </c>
      <c r="G372" s="28">
        <f>H370</f>
        <v>45211.520833333372</v>
      </c>
      <c r="H372" s="28">
        <f t="shared" si="283"/>
        <v>45211.815972222263</v>
      </c>
      <c r="I372" s="29" t="str">
        <f>PROPER(TEXT(G372,"dddd")) &amp; " - Días Totales: " &amp; ROUND(F372/1440,0)</f>
        <v>Jueves - Días Totales: 0</v>
      </c>
      <c r="J372" s="30">
        <f>J373</f>
        <v>3</v>
      </c>
      <c r="K372" s="31"/>
      <c r="L372" s="32"/>
      <c r="M372" s="31"/>
      <c r="N372" s="33"/>
      <c r="O372" s="51" t="e">
        <f ca="1">O373</f>
        <v>#REF!</v>
      </c>
      <c r="P372" s="51" t="e">
        <f ca="1">P373</f>
        <v>#REF!</v>
      </c>
      <c r="Q372" s="38">
        <f>Q373</f>
        <v>3</v>
      </c>
      <c r="R372" s="8"/>
      <c r="S372" s="8"/>
      <c r="T372" s="8"/>
    </row>
    <row r="373" spans="1:20" s="56" customFormat="1" hidden="1" outlineLevel="3">
      <c r="A373" s="43">
        <v>0</v>
      </c>
      <c r="B373" s="41" t="s">
        <v>15</v>
      </c>
      <c r="C373" s="41" t="s">
        <v>22</v>
      </c>
      <c r="D373" s="25" t="str">
        <f t="shared" si="293"/>
        <v></v>
      </c>
      <c r="E373" s="55" t="s">
        <v>504</v>
      </c>
      <c r="F373" s="43">
        <f>SUM(F374:F386)</f>
        <v>425</v>
      </c>
      <c r="G373" s="28">
        <f>H370</f>
        <v>45211.520833333372</v>
      </c>
      <c r="H373" s="28">
        <f t="shared" si="283"/>
        <v>45211.815972222263</v>
      </c>
      <c r="I373" s="29" t="str">
        <f>PROPER(TEXT(G373,"dddd"))</f>
        <v>Jueves</v>
      </c>
      <c r="J373" s="30">
        <f>SUM(J374:J386)</f>
        <v>3</v>
      </c>
      <c r="K373" s="31"/>
      <c r="L373" s="32"/>
      <c r="M373" s="31"/>
      <c r="N373" s="33"/>
      <c r="O373" s="51" t="e">
        <f ca="1">SUM(O374:O386)</f>
        <v>#REF!</v>
      </c>
      <c r="P373" s="51" t="e">
        <f ca="1">SUM(P374:P386)</f>
        <v>#REF!</v>
      </c>
      <c r="Q373" s="38">
        <f>AVERAGE(Q374:Q386)</f>
        <v>3</v>
      </c>
      <c r="R373" s="8"/>
      <c r="S373" s="8"/>
      <c r="T373" s="8"/>
    </row>
    <row r="374" spans="1:20" s="56" customFormat="1" hidden="1" outlineLevel="4">
      <c r="A374" s="43">
        <v>0</v>
      </c>
      <c r="B374" s="41" t="s">
        <v>42</v>
      </c>
      <c r="C374" s="41" t="s">
        <v>201</v>
      </c>
      <c r="D374" s="25" t="str">
        <f t="shared" si="293"/>
        <v></v>
      </c>
      <c r="E374" s="42" t="s">
        <v>202</v>
      </c>
      <c r="F374" s="43">
        <v>60</v>
      </c>
      <c r="G374" s="28">
        <f>H370</f>
        <v>45211.520833333372</v>
      </c>
      <c r="H374" s="28">
        <f t="shared" si="283"/>
        <v>45211.562500000036</v>
      </c>
      <c r="I374" s="29"/>
      <c r="J374" s="30"/>
      <c r="K374" s="31"/>
      <c r="L374" s="32"/>
      <c r="M374" s="31"/>
      <c r="N374" s="33"/>
      <c r="O374" s="51" cm="1">
        <f t="array" aca="1" ref="O374" ca="1">IF(K374="SI",IF(N374&lt;&gt;0,(INDIRECT(M374)*N374)/L374,0),0)</f>
        <v>0</v>
      </c>
      <c r="P374" s="51" cm="1">
        <f t="array" aca="1" ref="P374" ca="1">IF(N374&lt;&gt;0,(INDIRECT(M374)*N374)/L374,0)</f>
        <v>0</v>
      </c>
      <c r="Q374" s="38">
        <v>3</v>
      </c>
      <c r="R374" s="8"/>
      <c r="S374" s="8"/>
      <c r="T374" s="8"/>
    </row>
    <row r="375" spans="1:20" s="56" customFormat="1" ht="31.5" hidden="1" outlineLevel="4">
      <c r="A375" s="43">
        <v>0</v>
      </c>
      <c r="B375" s="41" t="s">
        <v>24</v>
      </c>
      <c r="C375" s="41" t="s">
        <v>83</v>
      </c>
      <c r="D375" s="25" t="str">
        <f t="shared" ref="D375:D496" si="294">IFERROR(VLOOKUP(C375,Todos,2,FALSE),"")</f>
        <v></v>
      </c>
      <c r="E375" s="42" t="s">
        <v>505</v>
      </c>
      <c r="F375" s="43">
        <v>0</v>
      </c>
      <c r="G375" s="28">
        <f>H374</f>
        <v>45211.562500000036</v>
      </c>
      <c r="H375" s="28">
        <f t="shared" si="283"/>
        <v>45211.562500000036</v>
      </c>
      <c r="I375" s="29" t="s">
        <v>506</v>
      </c>
      <c r="J375" s="30">
        <v>3</v>
      </c>
      <c r="K375" s="31" t="s">
        <v>27</v>
      </c>
      <c r="L375" s="32">
        <v>3</v>
      </c>
      <c r="M375" s="31" t="s">
        <v>28</v>
      </c>
      <c r="N375" s="33">
        <v>696945</v>
      </c>
      <c r="O375" s="51" t="e" cm="1">
        <f t="array" aca="1" ref="O375" ca="1">IF(K375="SI",IF(N375&lt;&gt;0,(INDIRECT(M375)*N375)/L375,0),0)</f>
        <v>#REF!</v>
      </c>
      <c r="P375" s="51" t="e" cm="1">
        <f t="array" aca="1" ref="P375" ca="1">IF(N375&lt;&gt;0,(INDIRECT(M375)*N375)/L375,0)</f>
        <v>#REF!</v>
      </c>
      <c r="Q375" s="38">
        <v>3</v>
      </c>
      <c r="R375" s="8"/>
      <c r="S375" s="8"/>
      <c r="T375" s="8"/>
    </row>
    <row r="376" spans="1:20" s="56" customFormat="1" hidden="1" outlineLevel="4">
      <c r="A376" s="43">
        <v>0</v>
      </c>
      <c r="B376" s="41" t="s">
        <v>38</v>
      </c>
      <c r="C376" s="41" t="s">
        <v>39</v>
      </c>
      <c r="D376" s="25" t="str">
        <f t="shared" ref="D376:D497" si="295">IFERROR(VLOOKUP(C376,Todos,2,FALSE),"")</f>
        <v></v>
      </c>
      <c r="E376" s="42" t="s">
        <v>507</v>
      </c>
      <c r="F376" s="43">
        <v>90</v>
      </c>
      <c r="G376" s="28">
        <f t="shared" ref="G376:G387" si="296">H375</f>
        <v>45211.562500000036</v>
      </c>
      <c r="H376" s="28">
        <f t="shared" si="283"/>
        <v>45211.625000000036</v>
      </c>
      <c r="I376" s="29" t="s">
        <v>255</v>
      </c>
      <c r="J376" s="30"/>
      <c r="K376" s="31" t="s">
        <v>27</v>
      </c>
      <c r="L376" s="32">
        <v>1</v>
      </c>
      <c r="M376" s="31" t="s">
        <v>508</v>
      </c>
      <c r="N376" s="33">
        <v>0</v>
      </c>
      <c r="O376" s="51" cm="1">
        <f t="array" aca="1" ref="O376" ca="1">IF(K376="SI",IF(N376&lt;&gt;0,(INDIRECT(M376)*N376)/L376,0),0)</f>
        <v>0</v>
      </c>
      <c r="P376" s="51" cm="1">
        <f t="array" aca="1" ref="P376" ca="1">IF(N376&lt;&gt;0,(INDIRECT(M376)*N376)/L376,0)</f>
        <v>0</v>
      </c>
      <c r="Q376" s="38">
        <v>3</v>
      </c>
      <c r="R376" s="8"/>
      <c r="S376" s="8"/>
      <c r="T376" s="8"/>
    </row>
    <row r="377" spans="1:20" s="56" customFormat="1" hidden="1" outlineLevel="4">
      <c r="A377" s="43">
        <v>0</v>
      </c>
      <c r="B377" s="41" t="s">
        <v>62</v>
      </c>
      <c r="C377" s="41" t="s">
        <v>119</v>
      </c>
      <c r="D377" s="25" t="str">
        <f t="shared" ref="D377:D498" si="297">IFERROR(VLOOKUP(C377,Todos,2,FALSE),"")</f>
        <v></v>
      </c>
      <c r="E377" s="42" t="s">
        <v>509</v>
      </c>
      <c r="F377" s="43">
        <v>60</v>
      </c>
      <c r="G377" s="28">
        <f t="shared" si="296"/>
        <v>45211.625000000036</v>
      </c>
      <c r="H377" s="28">
        <f t="shared" si="283"/>
        <v>45211.666666666701</v>
      </c>
      <c r="I377" s="29" t="s">
        <v>510</v>
      </c>
      <c r="J377" s="30"/>
      <c r="K377" s="31" t="s">
        <v>27</v>
      </c>
      <c r="L377" s="32">
        <v>1</v>
      </c>
      <c r="M377" s="31" t="s">
        <v>508</v>
      </c>
      <c r="N377" s="33">
        <v>0</v>
      </c>
      <c r="O377" s="51" cm="1">
        <f t="array" aca="1" ref="O377" ca="1">IF(K377="SI",IF(N377&lt;&gt;0,(INDIRECT(M377)*N377)/L377,0),0)</f>
        <v>0</v>
      </c>
      <c r="P377" s="51" cm="1">
        <f t="array" aca="1" ref="P377" ca="1">IF(N377&lt;&gt;0,(INDIRECT(M377)*N377)/L377,0)</f>
        <v>0</v>
      </c>
      <c r="Q377" s="38">
        <v>3</v>
      </c>
      <c r="R377" s="8"/>
      <c r="S377" s="8"/>
      <c r="T377" s="8"/>
    </row>
    <row r="378" spans="1:20" s="56" customFormat="1" hidden="1" outlineLevel="4">
      <c r="A378" s="43">
        <v>0</v>
      </c>
      <c r="B378" s="41" t="s">
        <v>62</v>
      </c>
      <c r="C378" s="41" t="s">
        <v>126</v>
      </c>
      <c r="D378" s="25" t="str">
        <f t="shared" ref="D378:D499" si="298">IFERROR(VLOOKUP(C378,Todos,2,FALSE),"")</f>
        <v></v>
      </c>
      <c r="E378" s="42" t="s">
        <v>511</v>
      </c>
      <c r="F378" s="43">
        <v>10</v>
      </c>
      <c r="G378" s="28">
        <f t="shared" si="296"/>
        <v>45211.666666666701</v>
      </c>
      <c r="H378" s="28">
        <f t="shared" si="283"/>
        <v>45211.673611111146</v>
      </c>
      <c r="I378" s="29" t="s">
        <v>512</v>
      </c>
      <c r="J378" s="30"/>
      <c r="K378" s="31" t="s">
        <v>27</v>
      </c>
      <c r="L378" s="32">
        <v>1</v>
      </c>
      <c r="M378" s="31" t="s">
        <v>508</v>
      </c>
      <c r="N378" s="33">
        <v>0</v>
      </c>
      <c r="O378" s="51" cm="1">
        <f t="array" aca="1" ref="O378" ca="1">IF(K378="SI",IF(N378&lt;&gt;0,(INDIRECT(M378)*N378)/L378,0),0)</f>
        <v>0</v>
      </c>
      <c r="P378" s="51" cm="1">
        <f t="array" aca="1" ref="P378" ca="1">IF(N378&lt;&gt;0,(INDIRECT(M378)*N378)/L378,0)</f>
        <v>0</v>
      </c>
      <c r="Q378" s="38">
        <v>3</v>
      </c>
      <c r="R378" s="8"/>
      <c r="S378" s="8"/>
      <c r="T378" s="8"/>
    </row>
    <row r="379" spans="1:20" s="56" customFormat="1" hidden="1" outlineLevel="4">
      <c r="A379" s="43">
        <v>0</v>
      </c>
      <c r="B379" s="41" t="s">
        <v>62</v>
      </c>
      <c r="C379" s="41" t="s">
        <v>129</v>
      </c>
      <c r="D379" s="25" t="str">
        <f t="shared" ref="D379:D500" si="299">IFERROR(VLOOKUP(C379,Todos,2,FALSE),"")</f>
        <v></v>
      </c>
      <c r="E379" s="42" t="s">
        <v>513</v>
      </c>
      <c r="F379" s="43">
        <v>20</v>
      </c>
      <c r="G379" s="28">
        <f t="shared" si="296"/>
        <v>45211.673611111146</v>
      </c>
      <c r="H379" s="28">
        <f t="shared" si="283"/>
        <v>45211.687500000036</v>
      </c>
      <c r="I379" s="29" t="s">
        <v>514</v>
      </c>
      <c r="J379" s="30"/>
      <c r="K379" s="31" t="s">
        <v>27</v>
      </c>
      <c r="L379" s="32">
        <v>1</v>
      </c>
      <c r="M379" s="31" t="s">
        <v>508</v>
      </c>
      <c r="N379" s="33">
        <v>0</v>
      </c>
      <c r="O379" s="51" cm="1">
        <f t="array" aca="1" ref="O379" ca="1">IF(K379="SI",IF(N379&lt;&gt;0,(INDIRECT(M379)*N379)/L379,0),0)</f>
        <v>0</v>
      </c>
      <c r="P379" s="51" cm="1">
        <f t="array" aca="1" ref="P379" ca="1">IF(N379&lt;&gt;0,(INDIRECT(M379)*N379)/L379,0)</f>
        <v>0</v>
      </c>
      <c r="Q379" s="38">
        <v>3</v>
      </c>
      <c r="R379" s="8"/>
      <c r="S379" s="8"/>
      <c r="T379" s="8"/>
    </row>
    <row r="380" spans="1:20" s="56" customFormat="1" hidden="1" outlineLevel="4">
      <c r="A380" s="43">
        <v>0</v>
      </c>
      <c r="B380" s="41" t="s">
        <v>62</v>
      </c>
      <c r="C380" s="41" t="s">
        <v>80</v>
      </c>
      <c r="D380" s="25" t="str">
        <f t="shared" ref="D380:D501" si="300">IFERROR(VLOOKUP(C380,Todos,2,FALSE),"")</f>
        <v></v>
      </c>
      <c r="E380" s="42" t="s">
        <v>515</v>
      </c>
      <c r="F380" s="43">
        <v>15</v>
      </c>
      <c r="G380" s="28">
        <f t="shared" si="296"/>
        <v>45211.687500000036</v>
      </c>
      <c r="H380" s="28">
        <f t="shared" si="283"/>
        <v>45211.697916666701</v>
      </c>
      <c r="I380" s="29" t="s">
        <v>516</v>
      </c>
      <c r="J380" s="30"/>
      <c r="K380" s="31" t="s">
        <v>27</v>
      </c>
      <c r="L380" s="32">
        <v>1</v>
      </c>
      <c r="M380" s="31" t="s">
        <v>508</v>
      </c>
      <c r="N380" s="33">
        <v>0</v>
      </c>
      <c r="O380" s="51" cm="1">
        <f t="array" aca="1" ref="O380" ca="1">IF(K380="SI",IF(N380&lt;&gt;0,(INDIRECT(M380)*N380)/L380,0),0)</f>
        <v>0</v>
      </c>
      <c r="P380" s="51" cm="1">
        <f t="array" aca="1" ref="P380" ca="1">IF(N380&lt;&gt;0,(INDIRECT(M380)*N380)/L380,0)</f>
        <v>0</v>
      </c>
      <c r="Q380" s="38">
        <v>3</v>
      </c>
      <c r="R380" s="8"/>
      <c r="S380" s="8"/>
      <c r="T380" s="8"/>
    </row>
    <row r="381" spans="1:20" s="56" customFormat="1" hidden="1" outlineLevel="4">
      <c r="A381" s="43">
        <v>0</v>
      </c>
      <c r="B381" s="41" t="s">
        <v>62</v>
      </c>
      <c r="C381" s="41" t="s">
        <v>119</v>
      </c>
      <c r="D381" s="25" t="str">
        <f t="shared" ref="D381:D502" si="301">IFERROR(VLOOKUP(C381,Todos,2,FALSE),"")</f>
        <v></v>
      </c>
      <c r="E381" s="42" t="s">
        <v>517</v>
      </c>
      <c r="F381" s="43">
        <v>15</v>
      </c>
      <c r="G381" s="28">
        <f t="shared" si="296"/>
        <v>45211.697916666701</v>
      </c>
      <c r="H381" s="28">
        <f t="shared" si="283"/>
        <v>45211.708333333365</v>
      </c>
      <c r="I381" s="29" t="s">
        <v>518</v>
      </c>
      <c r="J381" s="30"/>
      <c r="K381" s="31" t="s">
        <v>27</v>
      </c>
      <c r="L381" s="32">
        <v>1</v>
      </c>
      <c r="M381" s="31" t="s">
        <v>508</v>
      </c>
      <c r="N381" s="33">
        <v>0</v>
      </c>
      <c r="O381" s="51" cm="1">
        <f t="array" aca="1" ref="O381" ca="1">IF(K381="SI",IF(N381&lt;&gt;0,(INDIRECT(M381)*N381)/L381,0),0)</f>
        <v>0</v>
      </c>
      <c r="P381" s="51" cm="1">
        <f t="array" aca="1" ref="P381" ca="1">IF(N381&lt;&gt;0,(INDIRECT(M381)*N381)/L381,0)</f>
        <v>0</v>
      </c>
      <c r="Q381" s="38">
        <v>3</v>
      </c>
      <c r="R381" s="8"/>
      <c r="S381" s="8"/>
      <c r="T381" s="8"/>
    </row>
    <row r="382" spans="1:20" s="56" customFormat="1" hidden="1" outlineLevel="4">
      <c r="A382" s="43">
        <v>0</v>
      </c>
      <c r="B382" s="41" t="s">
        <v>62</v>
      </c>
      <c r="C382" s="41" t="s">
        <v>80</v>
      </c>
      <c r="D382" s="25" t="str">
        <f t="shared" ref="D382:D503" si="302">IFERROR(VLOOKUP(C382,Todos,2,FALSE),"")</f>
        <v></v>
      </c>
      <c r="E382" s="42" t="s">
        <v>519</v>
      </c>
      <c r="F382" s="43">
        <v>30</v>
      </c>
      <c r="G382" s="28">
        <f t="shared" si="296"/>
        <v>45211.708333333365</v>
      </c>
      <c r="H382" s="28">
        <f t="shared" si="283"/>
        <v>45211.729166666701</v>
      </c>
      <c r="I382" s="29" t="s">
        <v>520</v>
      </c>
      <c r="J382" s="30"/>
      <c r="K382" s="31" t="s">
        <v>27</v>
      </c>
      <c r="L382" s="32">
        <v>1</v>
      </c>
      <c r="M382" s="31" t="s">
        <v>508</v>
      </c>
      <c r="N382" s="33">
        <v>0</v>
      </c>
      <c r="O382" s="51" cm="1">
        <f t="array" aca="1" ref="O382" ca="1">IF(K382="SI",IF(N382&lt;&gt;0,(INDIRECT(M382)*N382)/L382,0),0)</f>
        <v>0</v>
      </c>
      <c r="P382" s="51" cm="1">
        <f t="array" aca="1" ref="P382" ca="1">IF(N382&lt;&gt;0,(INDIRECT(M382)*N382)/L382,0)</f>
        <v>0</v>
      </c>
      <c r="Q382" s="38">
        <v>3</v>
      </c>
      <c r="R382" s="8"/>
      <c r="S382" s="8"/>
      <c r="T382" s="8"/>
    </row>
    <row r="383" spans="1:20" s="56" customFormat="1" hidden="1" outlineLevel="4">
      <c r="A383" s="43">
        <v>0</v>
      </c>
      <c r="B383" s="41" t="s">
        <v>62</v>
      </c>
      <c r="C383" s="41" t="s">
        <v>89</v>
      </c>
      <c r="D383" s="25" t="str">
        <f t="shared" ref="D383:D504" si="303">IFERROR(VLOOKUP(C383,Todos,2,FALSE),"")</f>
        <v></v>
      </c>
      <c r="E383" s="42" t="s">
        <v>521</v>
      </c>
      <c r="F383" s="43">
        <v>20</v>
      </c>
      <c r="G383" s="28">
        <f t="shared" si="296"/>
        <v>45211.729166666701</v>
      </c>
      <c r="H383" s="28">
        <f t="shared" si="283"/>
        <v>45211.743055555591</v>
      </c>
      <c r="I383" s="29" t="s">
        <v>522</v>
      </c>
      <c r="J383" s="30"/>
      <c r="K383" s="31" t="s">
        <v>27</v>
      </c>
      <c r="L383" s="32">
        <v>1</v>
      </c>
      <c r="M383" s="31" t="s">
        <v>508</v>
      </c>
      <c r="N383" s="33">
        <v>0</v>
      </c>
      <c r="O383" s="51" cm="1">
        <f t="array" aca="1" ref="O383" ca="1">IF(K383="SI",IF(N383&lt;&gt;0,(INDIRECT(M383)*N383)/L383,0),0)</f>
        <v>0</v>
      </c>
      <c r="P383" s="51" cm="1">
        <f t="array" aca="1" ref="P383" ca="1">IF(N383&lt;&gt;0,(INDIRECT(M383)*N383)/L383,0)</f>
        <v>0</v>
      </c>
      <c r="Q383" s="38">
        <v>3</v>
      </c>
      <c r="R383" s="8"/>
      <c r="S383" s="8"/>
      <c r="T383" s="8"/>
    </row>
    <row r="384" spans="1:20" s="56" customFormat="1" hidden="1" outlineLevel="4">
      <c r="A384" s="43">
        <v>0</v>
      </c>
      <c r="B384" s="41" t="s">
        <v>38</v>
      </c>
      <c r="C384" s="41" t="s">
        <v>39</v>
      </c>
      <c r="D384" s="25" t="str">
        <f t="shared" ref="D384:D505" si="304">IFERROR(VLOOKUP(C384,Todos,2,FALSE),"")</f>
        <v></v>
      </c>
      <c r="E384" s="42" t="s">
        <v>523</v>
      </c>
      <c r="F384" s="43">
        <v>10</v>
      </c>
      <c r="G384" s="28">
        <f t="shared" si="296"/>
        <v>45211.743055555591</v>
      </c>
      <c r="H384" s="28">
        <f t="shared" si="283"/>
        <v>45211.750000000036</v>
      </c>
      <c r="I384" s="29" t="s">
        <v>255</v>
      </c>
      <c r="J384" s="30"/>
      <c r="K384" s="31" t="s">
        <v>27</v>
      </c>
      <c r="L384" s="32">
        <v>1</v>
      </c>
      <c r="M384" s="31" t="s">
        <v>508</v>
      </c>
      <c r="N384" s="33">
        <v>0</v>
      </c>
      <c r="O384" s="51" cm="1">
        <f t="array" aca="1" ref="O384" ca="1">IF(K384="SI",IF(N384&lt;&gt;0,(INDIRECT(M384)*N384)/L384,0),0)</f>
        <v>0</v>
      </c>
      <c r="P384" s="51" cm="1">
        <f t="array" aca="1" ref="P384" ca="1">IF(N384&lt;&gt;0,(INDIRECT(M384)*N384)/L384,0)</f>
        <v>0</v>
      </c>
      <c r="Q384" s="38">
        <v>3</v>
      </c>
      <c r="R384" s="8"/>
      <c r="S384" s="8"/>
      <c r="T384" s="8"/>
    </row>
    <row r="385" spans="1:20" s="56" customFormat="1" hidden="1" outlineLevel="4">
      <c r="A385" s="43">
        <v>0</v>
      </c>
      <c r="B385" s="41" t="s">
        <v>24</v>
      </c>
      <c r="C385" s="41" t="s">
        <v>31</v>
      </c>
      <c r="D385" s="25" t="str">
        <f t="shared" ref="D385:D506" si="305">IFERROR(VLOOKUP(C385,Todos,2,FALSE),"")</f>
        <v></v>
      </c>
      <c r="E385" s="42" t="s">
        <v>524</v>
      </c>
      <c r="F385" s="43">
        <v>0</v>
      </c>
      <c r="G385" s="28">
        <f t="shared" si="296"/>
        <v>45211.750000000036</v>
      </c>
      <c r="H385" s="28">
        <f t="shared" si="283"/>
        <v>45211.750000000036</v>
      </c>
      <c r="I385" s="29" t="s">
        <v>525</v>
      </c>
      <c r="J385" s="30"/>
      <c r="K385" s="31"/>
      <c r="L385" s="32"/>
      <c r="M385" s="31"/>
      <c r="N385" s="33"/>
      <c r="O385" s="51" cm="1">
        <f t="array" aca="1" ref="O385" ca="1">IF(K385="SI",IF(N385&lt;&gt;0,(INDIRECT(M385)*N385)/L385,0),0)</f>
        <v>0</v>
      </c>
      <c r="P385" s="51" cm="1">
        <f t="array" aca="1" ref="P385" ca="1">IF(N385&lt;&gt;0,(INDIRECT(M385)*N385)/L385,0)</f>
        <v>0</v>
      </c>
      <c r="Q385" s="38">
        <v>3</v>
      </c>
      <c r="R385" s="8"/>
      <c r="S385" s="8"/>
      <c r="T385" s="8"/>
    </row>
    <row r="386" spans="1:20" s="56" customFormat="1" hidden="1" outlineLevel="4">
      <c r="A386" s="43">
        <v>0</v>
      </c>
      <c r="B386" s="41" t="s">
        <v>71</v>
      </c>
      <c r="C386" s="41" t="s">
        <v>72</v>
      </c>
      <c r="D386" s="25" t="str">
        <f t="shared" ref="D386:D507" si="306">IFERROR(VLOOKUP(C386,Todos,2,FALSE),"")</f>
        <v></v>
      </c>
      <c r="E386" s="42" t="s">
        <v>72</v>
      </c>
      <c r="F386" s="43">
        <v>95</v>
      </c>
      <c r="G386" s="28">
        <f t="shared" si="296"/>
        <v>45211.750000000036</v>
      </c>
      <c r="H386" s="28">
        <f t="shared" si="283"/>
        <v>45211.815972222255</v>
      </c>
      <c r="I386" s="29" t="s">
        <v>526</v>
      </c>
      <c r="J386" s="30"/>
      <c r="K386" s="31" t="s">
        <v>58</v>
      </c>
      <c r="L386" s="32">
        <v>1</v>
      </c>
      <c r="M386" s="31" t="s">
        <v>508</v>
      </c>
      <c r="N386" s="33">
        <v>120</v>
      </c>
      <c r="O386" s="51" cm="1">
        <f t="array" aca="1" ref="O386" ca="1">IF(K386="SI",IF(N386&lt;&gt;0,(INDIRECT(M386)*N386)/L386,0),0)</f>
        <v>0</v>
      </c>
      <c r="P386" s="51" t="e" cm="1">
        <f t="array" aca="1" ref="P386" ca="1">IF(N386&lt;&gt;0,(INDIRECT(M386)*N386)/L386,0)</f>
        <v>#REF!</v>
      </c>
      <c r="Q386" s="38">
        <v>3</v>
      </c>
      <c r="R386" s="8"/>
      <c r="S386" s="8"/>
      <c r="T386" s="8"/>
    </row>
    <row r="387" spans="1:20" s="56" customFormat="1" ht="31.5" hidden="1" outlineLevel="2">
      <c r="A387" s="43">
        <v>2</v>
      </c>
      <c r="B387" s="41" t="s">
        <v>38</v>
      </c>
      <c r="C387" s="41" t="s">
        <v>335</v>
      </c>
      <c r="D387" s="25" t="str">
        <f t="shared" ref="D387:D508" si="307">IFERROR(VLOOKUP(C387,Todos,2,FALSE),"")</f>
        <v></v>
      </c>
      <c r="E387" s="42" t="s">
        <v>527</v>
      </c>
      <c r="F387" s="43">
        <v>159</v>
      </c>
      <c r="G387" s="28">
        <f t="shared" si="296"/>
        <v>45211.815972222255</v>
      </c>
      <c r="H387" s="28">
        <f t="shared" si="283"/>
        <v>45211.926388888925</v>
      </c>
      <c r="I387" s="29" t="s">
        <v>528</v>
      </c>
      <c r="J387" s="30"/>
      <c r="K387" s="31" t="s">
        <v>27</v>
      </c>
      <c r="L387" s="32">
        <v>3</v>
      </c>
      <c r="M387" s="31" t="s">
        <v>28</v>
      </c>
      <c r="N387" s="33">
        <v>169341</v>
      </c>
      <c r="O387" s="51" t="e" cm="1">
        <f t="array" aca="1" ref="O387" ca="1">IF(K387="SI",IF(N387&lt;&gt;0,(INDIRECT(M387)*N387)/L387,0),0)</f>
        <v>#REF!</v>
      </c>
      <c r="P387" s="51" t="e" cm="1">
        <f t="array" aca="1" ref="P387" ca="1">IF(N387&lt;&gt;0,(INDIRECT(M387)*N387)/L387,0)</f>
        <v>#REF!</v>
      </c>
      <c r="Q387" s="38">
        <v>3</v>
      </c>
      <c r="R387" s="8"/>
      <c r="S387" s="8"/>
      <c r="T387" s="8"/>
    </row>
    <row r="388" spans="1:20" s="56" customFormat="1" hidden="1" outlineLevel="2" collapsed="1">
      <c r="A388" s="43">
        <v>0</v>
      </c>
      <c r="B388" s="41" t="s">
        <v>15</v>
      </c>
      <c r="C388" s="41" t="s">
        <v>20</v>
      </c>
      <c r="D388" s="25" t="str">
        <f t="shared" ref="D388:D509" si="308">IFERROR(VLOOKUP(C388,Todos,2,FALSE),"")</f>
        <v></v>
      </c>
      <c r="E388" s="42" t="s">
        <v>529</v>
      </c>
      <c r="F388" s="43">
        <f>F389+F393+F406+F421+F433</f>
        <v>5531</v>
      </c>
      <c r="G388" s="28">
        <f>H387</f>
        <v>45211.926388888925</v>
      </c>
      <c r="H388" s="28">
        <f t="shared" si="283"/>
        <v>45215.767361111146</v>
      </c>
      <c r="I388" s="29" t="str">
        <f>PROPER(TEXT(G388,"dddd")) &amp; " - Días Totales: " &amp; ROUND(F388/1440,0)</f>
        <v>Jueves - Días Totales: 4</v>
      </c>
      <c r="J388" s="30">
        <f>J389+J393+J406+J421+J433</f>
        <v>7.15</v>
      </c>
      <c r="K388" s="31"/>
      <c r="L388" s="32"/>
      <c r="M388" s="31"/>
      <c r="N388" s="33"/>
      <c r="O388" s="51" t="e">
        <f ca="1">O389+O393+O406+O421+O433</f>
        <v>#REF!</v>
      </c>
      <c r="P388" s="51" t="e">
        <f ca="1">P389+P393+P406+P421+P433</f>
        <v>#REF!</v>
      </c>
      <c r="Q388" s="38">
        <f>AVERAGE(Q389,Q393,Q406,Q421,Q433)</f>
        <v>3</v>
      </c>
      <c r="R388" s="8"/>
      <c r="S388" s="8"/>
      <c r="T388" s="8"/>
    </row>
    <row r="389" spans="1:20" s="56" customFormat="1" hidden="1" outlineLevel="3">
      <c r="A389" s="43">
        <v>0</v>
      </c>
      <c r="B389" s="41" t="s">
        <v>15</v>
      </c>
      <c r="C389" s="41" t="s">
        <v>22</v>
      </c>
      <c r="D389" s="25" t="str">
        <f t="shared" si="308"/>
        <v></v>
      </c>
      <c r="E389" s="55" t="s">
        <v>530</v>
      </c>
      <c r="F389" s="43">
        <f>SUM(F390:F392)</f>
        <v>106</v>
      </c>
      <c r="G389" s="28">
        <f>H387</f>
        <v>45211.926388888925</v>
      </c>
      <c r="H389" s="28">
        <f t="shared" si="283"/>
        <v>45212.000000000036</v>
      </c>
      <c r="I389" s="29" t="str">
        <f>PROPER(TEXT(G389,"dddd"))</f>
        <v>Jueves</v>
      </c>
      <c r="J389" s="30">
        <f>SUM(J390:J392)</f>
        <v>0.2</v>
      </c>
      <c r="K389" s="31"/>
      <c r="L389" s="32"/>
      <c r="M389" s="31"/>
      <c r="N389" s="33"/>
      <c r="O389" s="51">
        <f ca="1">SUM(O390:O392)</f>
        <v>0</v>
      </c>
      <c r="P389" s="51" t="e">
        <f ca="1">SUM(P390:P392)</f>
        <v>#REF!</v>
      </c>
      <c r="Q389" s="38">
        <f>AVERAGE(Q390:Q392)</f>
        <v>3</v>
      </c>
      <c r="R389" s="8"/>
      <c r="S389" s="8"/>
      <c r="T389" s="8"/>
    </row>
    <row r="390" spans="1:20" s="56" customFormat="1" hidden="1" outlineLevel="4">
      <c r="A390" s="43">
        <v>0</v>
      </c>
      <c r="B390" s="41" t="s">
        <v>38</v>
      </c>
      <c r="C390" s="41" t="s">
        <v>60</v>
      </c>
      <c r="D390" s="25" t="str">
        <f t="shared" si="308"/>
        <v></v>
      </c>
      <c r="E390" s="42" t="s">
        <v>531</v>
      </c>
      <c r="F390" s="43">
        <v>6</v>
      </c>
      <c r="G390" s="28">
        <f>H387</f>
        <v>45211.926388888925</v>
      </c>
      <c r="H390" s="28">
        <f t="shared" si="283"/>
        <v>45211.930555555591</v>
      </c>
      <c r="I390" s="29"/>
      <c r="J390" s="30">
        <v>0.2</v>
      </c>
      <c r="K390" s="31"/>
      <c r="L390" s="32"/>
      <c r="M390" s="31"/>
      <c r="N390" s="33"/>
      <c r="O390" s="51" cm="1">
        <f t="array" aca="1" ref="O390" ca="1">IF(K390="SI",IF(N390&lt;&gt;0,(INDIRECT(M390)*N390)/L390,0),0)</f>
        <v>0</v>
      </c>
      <c r="P390" s="51" cm="1">
        <f t="array" aca="1" ref="P390" ca="1">IF(N390&lt;&gt;0,(INDIRECT(M390)*N390)/L390,0)</f>
        <v>0</v>
      </c>
      <c r="Q390" s="38">
        <v>3</v>
      </c>
      <c r="R390" s="8"/>
      <c r="S390" s="8"/>
      <c r="T390" s="8"/>
    </row>
    <row r="391" spans="1:20" s="56" customFormat="1" ht="31.5" hidden="1" outlineLevel="4">
      <c r="A391" s="43">
        <v>0</v>
      </c>
      <c r="B391" s="41" t="s">
        <v>62</v>
      </c>
      <c r="C391" s="41" t="s">
        <v>63</v>
      </c>
      <c r="D391" s="25" t="str">
        <f t="shared" ref="D391:D512" si="309">IFERROR(VLOOKUP(C391,Todos,2,FALSE),"")</f>
        <v></v>
      </c>
      <c r="E391" s="42" t="s">
        <v>532</v>
      </c>
      <c r="F391" s="43">
        <v>20</v>
      </c>
      <c r="G391" s="28">
        <f>H390</f>
        <v>45211.930555555591</v>
      </c>
      <c r="H391" s="28">
        <f t="shared" si="283"/>
        <v>45211.944444444482</v>
      </c>
      <c r="I391" s="29" t="s">
        <v>533</v>
      </c>
      <c r="J391" s="30"/>
      <c r="K391" s="31" t="s">
        <v>58</v>
      </c>
      <c r="L391" s="32">
        <v>3</v>
      </c>
      <c r="M391" s="31" t="s">
        <v>205</v>
      </c>
      <c r="N391" s="33">
        <v>88.33</v>
      </c>
      <c r="O391" s="51" cm="1">
        <f t="array" aca="1" ref="O391" ca="1">IF(K391="SI",IF(N391&lt;&gt;0,(INDIRECT(M391)*N391)/L391,0),0)</f>
        <v>0</v>
      </c>
      <c r="P391" s="51" t="e" cm="1">
        <f t="array" aca="1" ref="P391" ca="1">IF(N391&lt;&gt;0,(INDIRECT(M391)*N391)/L391,0)</f>
        <v>#REF!</v>
      </c>
      <c r="Q391" s="38">
        <v>3</v>
      </c>
      <c r="R391" s="8"/>
      <c r="S391" s="8"/>
      <c r="T391" s="8"/>
    </row>
    <row r="392" spans="1:20" s="56" customFormat="1" hidden="1" outlineLevel="4">
      <c r="A392" s="43">
        <v>0</v>
      </c>
      <c r="B392" s="41" t="s">
        <v>24</v>
      </c>
      <c r="C392" s="41" t="s">
        <v>37</v>
      </c>
      <c r="D392" s="25" t="str">
        <f t="shared" ref="D392:D513" si="310">IFERROR(VLOOKUP(C392,Todos,2,FALSE),"")</f>
        <v></v>
      </c>
      <c r="E392" s="42" t="s">
        <v>37</v>
      </c>
      <c r="F392" s="43">
        <v>80</v>
      </c>
      <c r="G392" s="28">
        <f>H391</f>
        <v>45211.944444444482</v>
      </c>
      <c r="H392" s="28">
        <f t="shared" si="283"/>
        <v>45212.000000000036</v>
      </c>
      <c r="I392" s="29"/>
      <c r="J392" s="30"/>
      <c r="K392" s="31"/>
      <c r="L392" s="32"/>
      <c r="M392" s="31"/>
      <c r="N392" s="33"/>
      <c r="O392" s="51" cm="1">
        <f t="array" aca="1" ref="O392" ca="1">IF(K392="SI",IF(N392&lt;&gt;0,(INDIRECT(M392)*N392)/L392,0),0)</f>
        <v>0</v>
      </c>
      <c r="P392" s="51" cm="1">
        <f t="array" aca="1" ref="P392" ca="1">IF(N392&lt;&gt;0,(INDIRECT(M392)*N392)/L392,0)</f>
        <v>0</v>
      </c>
      <c r="Q392" s="38">
        <v>3</v>
      </c>
      <c r="R392" s="8"/>
      <c r="S392" s="8"/>
      <c r="T392" s="8"/>
    </row>
    <row r="393" spans="1:20" s="56" customFormat="1" hidden="1" outlineLevel="3">
      <c r="A393" s="43">
        <v>0</v>
      </c>
      <c r="B393" s="41" t="s">
        <v>15</v>
      </c>
      <c r="C393" s="41" t="s">
        <v>22</v>
      </c>
      <c r="D393" s="25" t="str">
        <f t="shared" ref="D393:D514" si="311">IFERROR(VLOOKUP(C393,Todos,2,FALSE),"")</f>
        <v></v>
      </c>
      <c r="E393" s="55" t="s">
        <v>534</v>
      </c>
      <c r="F393" s="43">
        <f>SUM(F394:F405)</f>
        <v>1440</v>
      </c>
      <c r="G393" s="28">
        <f>H392</f>
        <v>45212.000000000036</v>
      </c>
      <c r="H393" s="28">
        <f t="shared" si="283"/>
        <v>45213.000000000036</v>
      </c>
      <c r="I393" s="29" t="str">
        <f>PROPER(TEXT(G393,"dddd"))</f>
        <v>Viernes</v>
      </c>
      <c r="J393" s="30">
        <f>SUM(J394:J405)</f>
        <v>0</v>
      </c>
      <c r="K393" s="31"/>
      <c r="L393" s="32"/>
      <c r="M393" s="31"/>
      <c r="N393" s="33"/>
      <c r="O393" s="51" t="e">
        <f ca="1">SUM(O394:O405)</f>
        <v>#REF!</v>
      </c>
      <c r="P393" s="51" t="e">
        <f ca="1">SUM(P394:P405)</f>
        <v>#REF!</v>
      </c>
      <c r="Q393" s="38">
        <f>AVERAGE(Q394:Q405)</f>
        <v>3</v>
      </c>
      <c r="R393" s="8"/>
      <c r="S393" s="8"/>
      <c r="T393" s="8"/>
    </row>
    <row r="394" spans="1:20" s="56" customFormat="1" hidden="1" outlineLevel="4">
      <c r="A394" s="43">
        <v>0</v>
      </c>
      <c r="B394" s="41" t="s">
        <v>24</v>
      </c>
      <c r="C394" s="41" t="s">
        <v>37</v>
      </c>
      <c r="D394" s="25" t="str">
        <f t="shared" si="311"/>
        <v></v>
      </c>
      <c r="E394" s="42" t="s">
        <v>37</v>
      </c>
      <c r="F394" s="43">
        <v>380</v>
      </c>
      <c r="G394" s="28">
        <f>H392</f>
        <v>45212.000000000036</v>
      </c>
      <c r="H394" s="28">
        <f t="shared" si="283"/>
        <v>45212.263888888927</v>
      </c>
      <c r="I394" s="29"/>
      <c r="J394" s="30"/>
      <c r="K394" s="31"/>
      <c r="L394" s="32"/>
      <c r="M394" s="31"/>
      <c r="N394" s="33"/>
      <c r="O394" s="51" cm="1">
        <f t="array" aca="1" ref="O394" ca="1">IF(K394="SI",IF(N394&lt;&gt;0,(INDIRECT(M394)*N394)/L394,0),0)</f>
        <v>0</v>
      </c>
      <c r="P394" s="51" cm="1">
        <f t="array" aca="1" ref="P394" ca="1">IF(N394&lt;&gt;0,(INDIRECT(M394)*N394)/L394,0)</f>
        <v>0</v>
      </c>
      <c r="Q394" s="38">
        <v>3</v>
      </c>
      <c r="R394" s="8"/>
      <c r="S394" s="8"/>
      <c r="T394" s="8"/>
    </row>
    <row r="395" spans="1:20" s="56" customFormat="1" hidden="1" outlineLevel="4">
      <c r="A395" s="43">
        <v>0</v>
      </c>
      <c r="B395" s="41" t="s">
        <v>71</v>
      </c>
      <c r="C395" s="41" t="s">
        <v>75</v>
      </c>
      <c r="D395" s="25" t="str">
        <f t="shared" ref="D395:D516" si="312">IFERROR(VLOOKUP(C395,Todos,2,FALSE),"")</f>
        <v></v>
      </c>
      <c r="E395" s="42" t="s">
        <v>75</v>
      </c>
      <c r="F395" s="43">
        <v>60</v>
      </c>
      <c r="G395" s="28">
        <f>H394</f>
        <v>45212.263888888927</v>
      </c>
      <c r="H395" s="28">
        <f t="shared" si="283"/>
        <v>45212.305555555591</v>
      </c>
      <c r="I395" s="29" t="s">
        <v>76</v>
      </c>
      <c r="J395" s="30"/>
      <c r="K395" s="31" t="s">
        <v>27</v>
      </c>
      <c r="L395" s="32">
        <v>1</v>
      </c>
      <c r="M395" s="31" t="s">
        <v>508</v>
      </c>
      <c r="N395" s="33">
        <v>0</v>
      </c>
      <c r="O395" s="51" cm="1">
        <f t="array" aca="1" ref="O395" ca="1">IF(K395="SI",IF(N395&lt;&gt;0,(INDIRECT(M395)*N395)/L395,0),0)</f>
        <v>0</v>
      </c>
      <c r="P395" s="51" cm="1">
        <f t="array" aca="1" ref="P395" ca="1">IF(N395&lt;&gt;0,(INDIRECT(M395)*N395)/L395,0)</f>
        <v>0</v>
      </c>
      <c r="Q395" s="38">
        <v>3</v>
      </c>
      <c r="R395" s="8"/>
      <c r="S395" s="8"/>
      <c r="T395" s="8"/>
    </row>
    <row r="396" spans="1:20" s="56" customFormat="1" hidden="1" outlineLevel="4">
      <c r="A396" s="43">
        <v>0</v>
      </c>
      <c r="B396" s="41" t="s">
        <v>24</v>
      </c>
      <c r="C396" s="41" t="s">
        <v>25</v>
      </c>
      <c r="D396" s="25" t="str">
        <f t="shared" ref="D396:D517" si="313">IFERROR(VLOOKUP(C396,Todos,2,FALSE),"")</f>
        <v></v>
      </c>
      <c r="E396" s="42" t="s">
        <v>535</v>
      </c>
      <c r="F396" s="43">
        <v>0</v>
      </c>
      <c r="G396" s="28">
        <f t="shared" ref="G396:G405" si="314">H395</f>
        <v>45212.305555555591</v>
      </c>
      <c r="H396" s="28">
        <f t="shared" si="283"/>
        <v>45212.305555555591</v>
      </c>
      <c r="I396" s="29" t="s">
        <v>536</v>
      </c>
      <c r="J396" s="30"/>
      <c r="K396" s="31"/>
      <c r="L396" s="32"/>
      <c r="M396" s="31"/>
      <c r="N396" s="33"/>
      <c r="O396" s="51" cm="1">
        <f t="array" aca="1" ref="O396" ca="1">IF(K396="SI",IF(N396&lt;&gt;0,(INDIRECT(M396)*N396)/L396,0),0)</f>
        <v>0</v>
      </c>
      <c r="P396" s="51" cm="1">
        <f t="array" aca="1" ref="P396" ca="1">IF(N396&lt;&gt;0,(INDIRECT(M396)*N396)/L396,0)</f>
        <v>0</v>
      </c>
      <c r="Q396" s="38">
        <v>3</v>
      </c>
      <c r="R396" s="8"/>
      <c r="S396" s="8"/>
      <c r="T396" s="8"/>
    </row>
    <row r="397" spans="1:20" s="56" customFormat="1" ht="31.5" hidden="1" outlineLevel="4">
      <c r="A397" s="43">
        <v>0</v>
      </c>
      <c r="B397" s="41" t="s">
        <v>24</v>
      </c>
      <c r="C397" s="41" t="s">
        <v>83</v>
      </c>
      <c r="D397" s="25" t="str">
        <f t="shared" ref="D397:D518" si="315">IFERROR(VLOOKUP(C397,Todos,2,FALSE),"")</f>
        <v></v>
      </c>
      <c r="E397" s="42" t="s">
        <v>537</v>
      </c>
      <c r="F397" s="43">
        <v>0</v>
      </c>
      <c r="G397" s="28">
        <f t="shared" si="314"/>
        <v>45212.305555555591</v>
      </c>
      <c r="H397" s="28">
        <f t="shared" si="283"/>
        <v>45212.305555555591</v>
      </c>
      <c r="I397" s="29" t="s">
        <v>538</v>
      </c>
      <c r="J397" s="30"/>
      <c r="K397" s="31" t="s">
        <v>27</v>
      </c>
      <c r="L397" s="32">
        <v>3</v>
      </c>
      <c r="M397" s="31" t="s">
        <v>28</v>
      </c>
      <c r="N397" s="33">
        <v>1521146</v>
      </c>
      <c r="O397" s="51" t="e" cm="1">
        <f t="array" aca="1" ref="O397" ca="1">IF(K397="SI",IF(N397&lt;&gt;0,(INDIRECT(M397)*N397)/L397,0),0)</f>
        <v>#REF!</v>
      </c>
      <c r="P397" s="51" t="e" cm="1">
        <f t="array" aca="1" ref="P397" ca="1">IF(N397&lt;&gt;0,(INDIRECT(M397)*N397)/L397,0)</f>
        <v>#REF!</v>
      </c>
      <c r="Q397" s="38">
        <v>3</v>
      </c>
      <c r="R397" s="8"/>
      <c r="S397" s="8"/>
      <c r="T397" s="8"/>
    </row>
    <row r="398" spans="1:20" s="56" customFormat="1" hidden="1" outlineLevel="4">
      <c r="A398" s="43">
        <v>0</v>
      </c>
      <c r="B398" s="41" t="s">
        <v>38</v>
      </c>
      <c r="C398" s="41" t="s">
        <v>253</v>
      </c>
      <c r="D398" s="25" t="str">
        <f t="shared" ref="D398:D519" si="316">IFERROR(VLOOKUP(C398,Todos,2,FALSE),"")</f>
        <v></v>
      </c>
      <c r="E398" s="42" t="s">
        <v>539</v>
      </c>
      <c r="F398" s="43">
        <v>180</v>
      </c>
      <c r="G398" s="28">
        <f t="shared" si="314"/>
        <v>45212.305555555591</v>
      </c>
      <c r="H398" s="28">
        <f t="shared" si="283"/>
        <v>45212.430555555591</v>
      </c>
      <c r="I398" s="29" t="s">
        <v>255</v>
      </c>
      <c r="J398" s="30"/>
      <c r="K398" s="31" t="s">
        <v>27</v>
      </c>
      <c r="L398" s="32">
        <v>1</v>
      </c>
      <c r="M398" s="31" t="s">
        <v>508</v>
      </c>
      <c r="N398" s="33">
        <v>0</v>
      </c>
      <c r="O398" s="51" cm="1">
        <f t="array" aca="1" ref="O398" ca="1">IF(K398="SI",IF(N398&lt;&gt;0,(INDIRECT(M398)*N398)/L398,0),0)</f>
        <v>0</v>
      </c>
      <c r="P398" s="51" cm="1">
        <f t="array" aca="1" ref="P398" ca="1">IF(N398&lt;&gt;0,(INDIRECT(M398)*N398)/L398,0)</f>
        <v>0</v>
      </c>
      <c r="Q398" s="38">
        <v>3</v>
      </c>
      <c r="R398" s="8"/>
      <c r="S398" s="8"/>
      <c r="T398" s="8"/>
    </row>
    <row r="399" spans="1:20" s="56" customFormat="1" hidden="1" outlineLevel="4">
      <c r="A399" s="43">
        <v>0</v>
      </c>
      <c r="B399" s="41" t="s">
        <v>62</v>
      </c>
      <c r="C399" s="41" t="s">
        <v>89</v>
      </c>
      <c r="D399" s="25" t="str">
        <f t="shared" ref="D399:D520" si="317">IFERROR(VLOOKUP(C399,Todos,2,FALSE),"")</f>
        <v></v>
      </c>
      <c r="E399" s="42" t="s">
        <v>540</v>
      </c>
      <c r="F399" s="43">
        <v>100</v>
      </c>
      <c r="G399" s="28">
        <f t="shared" si="314"/>
        <v>45212.430555555591</v>
      </c>
      <c r="H399" s="28">
        <f t="shared" si="283"/>
        <v>45212.500000000036</v>
      </c>
      <c r="I399" s="29" t="s">
        <v>541</v>
      </c>
      <c r="J399" s="30"/>
      <c r="K399" s="31" t="s">
        <v>27</v>
      </c>
      <c r="L399" s="32">
        <v>1</v>
      </c>
      <c r="M399" s="31" t="s">
        <v>508</v>
      </c>
      <c r="N399" s="33">
        <v>0</v>
      </c>
      <c r="O399" s="51" cm="1">
        <f t="array" aca="1" ref="O399" ca="1">IF(K399="SI",IF(N399&lt;&gt;0,(INDIRECT(M399)*N399)/L399,0),0)</f>
        <v>0</v>
      </c>
      <c r="P399" s="51" cm="1">
        <f t="array" aca="1" ref="P399" ca="1">IF(N399&lt;&gt;0,(INDIRECT(M399)*N399)/L399,0)</f>
        <v>0</v>
      </c>
      <c r="Q399" s="38">
        <v>3</v>
      </c>
      <c r="R399" s="8"/>
      <c r="S399" s="8"/>
      <c r="T399" s="8"/>
    </row>
    <row r="400" spans="1:20" s="56" customFormat="1" hidden="1" outlineLevel="4">
      <c r="A400" s="43">
        <v>0</v>
      </c>
      <c r="B400" s="41" t="s">
        <v>71</v>
      </c>
      <c r="C400" s="41" t="s">
        <v>95</v>
      </c>
      <c r="D400" s="25" t="str">
        <f t="shared" ref="D400:D521" si="318">IFERROR(VLOOKUP(C400,Todos,2,FALSE),"")</f>
        <v></v>
      </c>
      <c r="E400" s="42" t="s">
        <v>542</v>
      </c>
      <c r="F400" s="43">
        <v>60</v>
      </c>
      <c r="G400" s="28">
        <f t="shared" si="314"/>
        <v>45212.500000000036</v>
      </c>
      <c r="H400" s="28">
        <f t="shared" si="283"/>
        <v>45212.541666666701</v>
      </c>
      <c r="I400" s="29" t="s">
        <v>543</v>
      </c>
      <c r="J400" s="30"/>
      <c r="K400" s="31" t="s">
        <v>58</v>
      </c>
      <c r="L400" s="32">
        <v>1</v>
      </c>
      <c r="M400" s="31" t="s">
        <v>508</v>
      </c>
      <c r="N400" s="33">
        <v>120</v>
      </c>
      <c r="O400" s="51" cm="1">
        <f t="array" aca="1" ref="O400" ca="1">IF(K400="SI",IF(N400&lt;&gt;0,(INDIRECT(M400)*N400)/L400,0),0)</f>
        <v>0</v>
      </c>
      <c r="P400" s="51" t="e" cm="1">
        <f t="array" aca="1" ref="P400" ca="1">IF(N400&lt;&gt;0,(INDIRECT(M400)*N400)/L400,0)</f>
        <v>#REF!</v>
      </c>
      <c r="Q400" s="38">
        <v>3</v>
      </c>
      <c r="R400" s="8"/>
      <c r="S400" s="8"/>
      <c r="T400" s="8"/>
    </row>
    <row r="401" spans="1:20" s="56" customFormat="1" hidden="1" outlineLevel="4">
      <c r="A401" s="43">
        <v>0</v>
      </c>
      <c r="B401" s="41" t="s">
        <v>38</v>
      </c>
      <c r="C401" s="41" t="s">
        <v>253</v>
      </c>
      <c r="D401" s="25" t="str">
        <f t="shared" ref="D401:D522" si="319">IFERROR(VLOOKUP(C401,Todos,2,FALSE),"")</f>
        <v></v>
      </c>
      <c r="E401" s="42" t="s">
        <v>544</v>
      </c>
      <c r="F401" s="43">
        <v>180</v>
      </c>
      <c r="G401" s="28">
        <f t="shared" si="314"/>
        <v>45212.541666666701</v>
      </c>
      <c r="H401" s="28">
        <f t="shared" si="283"/>
        <v>45212.666666666701</v>
      </c>
      <c r="I401" s="29" t="s">
        <v>255</v>
      </c>
      <c r="J401" s="30"/>
      <c r="K401" s="31" t="s">
        <v>27</v>
      </c>
      <c r="L401" s="32">
        <v>1</v>
      </c>
      <c r="M401" s="31" t="s">
        <v>508</v>
      </c>
      <c r="N401" s="33">
        <v>0</v>
      </c>
      <c r="O401" s="51" cm="1">
        <f t="array" aca="1" ref="O401" ca="1">IF(K401="SI",IF(N401&lt;&gt;0,(INDIRECT(M401)*N401)/L401,0),0)</f>
        <v>0</v>
      </c>
      <c r="P401" s="51" cm="1">
        <f t="array" aca="1" ref="P401" ca="1">IF(N401&lt;&gt;0,(INDIRECT(M401)*N401)/L401,0)</f>
        <v>0</v>
      </c>
      <c r="Q401" s="38">
        <v>3</v>
      </c>
      <c r="R401" s="8"/>
      <c r="S401" s="8"/>
      <c r="T401" s="8"/>
    </row>
    <row r="402" spans="1:20" s="56" customFormat="1" hidden="1" outlineLevel="4">
      <c r="A402" s="43">
        <v>0</v>
      </c>
      <c r="B402" s="41" t="s">
        <v>62</v>
      </c>
      <c r="C402" s="41" t="s">
        <v>440</v>
      </c>
      <c r="D402" s="25" t="str">
        <f t="shared" ref="D402:D523" si="320">IFERROR(VLOOKUP(C402,Todos,2,FALSE),"")</f>
        <v></v>
      </c>
      <c r="E402" s="42" t="s">
        <v>545</v>
      </c>
      <c r="F402" s="43">
        <v>180</v>
      </c>
      <c r="G402" s="28">
        <f t="shared" si="314"/>
        <v>45212.666666666701</v>
      </c>
      <c r="H402" s="28">
        <f t="shared" si="283"/>
        <v>45212.791666666701</v>
      </c>
      <c r="I402" s="29" t="s">
        <v>88</v>
      </c>
      <c r="J402" s="30"/>
      <c r="K402" s="31" t="s">
        <v>27</v>
      </c>
      <c r="L402" s="32">
        <v>1</v>
      </c>
      <c r="M402" s="31" t="s">
        <v>508</v>
      </c>
      <c r="N402" s="33">
        <v>0</v>
      </c>
      <c r="O402" s="51" cm="1">
        <f t="array" aca="1" ref="O402" ca="1">IF(K402="SI",IF(N402&lt;&gt;0,(INDIRECT(M402)*N402)/L402,0),0)</f>
        <v>0</v>
      </c>
      <c r="P402" s="51" cm="1">
        <f t="array" aca="1" ref="P402" ca="1">IF(N402&lt;&gt;0,(INDIRECT(M402)*N402)/L402,0)</f>
        <v>0</v>
      </c>
      <c r="Q402" s="38">
        <v>3</v>
      </c>
      <c r="R402" s="8"/>
      <c r="S402" s="8"/>
      <c r="T402" s="8"/>
    </row>
    <row r="403" spans="1:20" s="56" customFormat="1" hidden="1" outlineLevel="4">
      <c r="A403" s="43">
        <v>0</v>
      </c>
      <c r="B403" s="41" t="s">
        <v>71</v>
      </c>
      <c r="C403" s="41" t="s">
        <v>72</v>
      </c>
      <c r="D403" s="25" t="str">
        <f t="shared" ref="D403:D524" si="321">IFERROR(VLOOKUP(C403,Todos,2,FALSE),"")</f>
        <v></v>
      </c>
      <c r="E403" s="42" t="s">
        <v>72</v>
      </c>
      <c r="F403" s="43">
        <v>60</v>
      </c>
      <c r="G403" s="28">
        <f t="shared" si="314"/>
        <v>45212.791666666701</v>
      </c>
      <c r="H403" s="28">
        <f t="shared" si="283"/>
        <v>45212.833333333365</v>
      </c>
      <c r="I403" s="29" t="s">
        <v>255</v>
      </c>
      <c r="J403" s="30"/>
      <c r="K403" s="31" t="s">
        <v>27</v>
      </c>
      <c r="L403" s="32">
        <v>1</v>
      </c>
      <c r="M403" s="31" t="s">
        <v>508</v>
      </c>
      <c r="N403" s="33">
        <v>0</v>
      </c>
      <c r="O403" s="51" cm="1">
        <f t="array" aca="1" ref="O403" ca="1">IF(K403="SI",IF(N403&lt;&gt;0,(INDIRECT(M403)*N403)/L403,0),0)</f>
        <v>0</v>
      </c>
      <c r="P403" s="51" cm="1">
        <f t="array" aca="1" ref="P403" ca="1">IF(N403&lt;&gt;0,(INDIRECT(M403)*N403)/L403,0)</f>
        <v>0</v>
      </c>
      <c r="Q403" s="38">
        <v>3</v>
      </c>
      <c r="R403" s="8"/>
      <c r="S403" s="8"/>
      <c r="T403" s="8"/>
    </row>
    <row r="404" spans="1:20" s="56" customFormat="1" hidden="1" outlineLevel="4">
      <c r="A404" s="43">
        <v>0</v>
      </c>
      <c r="B404" s="41" t="s">
        <v>24</v>
      </c>
      <c r="C404" s="41" t="s">
        <v>35</v>
      </c>
      <c r="D404" s="25" t="str">
        <f t="shared" ref="D404:D525" si="322">IFERROR(VLOOKUP(C404,Todos,2,FALSE),"")</f>
        <v></v>
      </c>
      <c r="E404" s="42" t="s">
        <v>35</v>
      </c>
      <c r="F404" s="43">
        <v>120</v>
      </c>
      <c r="G404" s="28">
        <f t="shared" si="314"/>
        <v>45212.833333333365</v>
      </c>
      <c r="H404" s="28">
        <f t="shared" si="283"/>
        <v>45212.916666666701</v>
      </c>
      <c r="I404" s="29"/>
      <c r="J404" s="30"/>
      <c r="K404" s="31"/>
      <c r="L404" s="32"/>
      <c r="M404" s="31"/>
      <c r="N404" s="33"/>
      <c r="O404" s="51" cm="1">
        <f t="array" aca="1" ref="O404" ca="1">IF(K404="SI",IF(N404&lt;&gt;0,(INDIRECT(M404)*N404)/L404,0),0)</f>
        <v>0</v>
      </c>
      <c r="P404" s="51" cm="1">
        <f t="array" aca="1" ref="P404" ca="1">IF(N404&lt;&gt;0,(INDIRECT(M404)*N404)/L404,0)</f>
        <v>0</v>
      </c>
      <c r="Q404" s="38">
        <v>3</v>
      </c>
      <c r="R404" s="8"/>
      <c r="S404" s="8"/>
      <c r="T404" s="8"/>
    </row>
    <row r="405" spans="1:20" s="56" customFormat="1" hidden="1" outlineLevel="4">
      <c r="A405" s="43">
        <v>0</v>
      </c>
      <c r="B405" s="41" t="s">
        <v>24</v>
      </c>
      <c r="C405" s="41" t="s">
        <v>37</v>
      </c>
      <c r="D405" s="25" t="str">
        <f t="shared" ref="D405:D526" si="323">IFERROR(VLOOKUP(C405,Todos,2,FALSE),"")</f>
        <v></v>
      </c>
      <c r="E405" s="42" t="s">
        <v>37</v>
      </c>
      <c r="F405" s="43">
        <v>120</v>
      </c>
      <c r="G405" s="28">
        <f t="shared" si="314"/>
        <v>45212.916666666701</v>
      </c>
      <c r="H405" s="28">
        <f t="shared" si="283"/>
        <v>45213.000000000036</v>
      </c>
      <c r="I405" s="29"/>
      <c r="J405" s="30"/>
      <c r="K405" s="31"/>
      <c r="L405" s="32"/>
      <c r="M405" s="31"/>
      <c r="N405" s="33"/>
      <c r="O405" s="51" cm="1">
        <f t="array" aca="1" ref="O405" ca="1">IF(K405="SI",IF(N405&lt;&gt;0,(INDIRECT(M405)*N405)/L405,0),0)</f>
        <v>0</v>
      </c>
      <c r="P405" s="51" cm="1">
        <f t="array" aca="1" ref="P405" ca="1">IF(N405&lt;&gt;0,(INDIRECT(M405)*N405)/L405,0)</f>
        <v>0</v>
      </c>
      <c r="Q405" s="38">
        <v>3</v>
      </c>
      <c r="R405" s="8"/>
      <c r="S405" s="8"/>
      <c r="T405" s="8"/>
    </row>
    <row r="406" spans="1:20" s="56" customFormat="1" hidden="1" outlineLevel="3">
      <c r="A406" s="43">
        <v>0</v>
      </c>
      <c r="B406" s="41" t="s">
        <v>15</v>
      </c>
      <c r="C406" s="41" t="s">
        <v>22</v>
      </c>
      <c r="D406" s="25" t="str">
        <f t="shared" ref="D406:D527" si="324">IFERROR(VLOOKUP(C406,Todos,2,FALSE),"")</f>
        <v></v>
      </c>
      <c r="E406" s="55" t="s">
        <v>546</v>
      </c>
      <c r="F406" s="43">
        <f>SUM(F407:F420)</f>
        <v>1440</v>
      </c>
      <c r="G406" s="28">
        <f>H405</f>
        <v>45213.000000000036</v>
      </c>
      <c r="H406" s="28">
        <f t="shared" si="283"/>
        <v>45214.000000000036</v>
      </c>
      <c r="I406" s="29" t="str">
        <f>PROPER(TEXT(G406,"dddd"))</f>
        <v>Sábado</v>
      </c>
      <c r="J406" s="30">
        <f>SUM(J407:J420)</f>
        <v>0</v>
      </c>
      <c r="K406" s="31"/>
      <c r="L406" s="32"/>
      <c r="M406" s="31"/>
      <c r="N406" s="33"/>
      <c r="O406" s="51">
        <f ca="1">SUM(O407:O420)</f>
        <v>0</v>
      </c>
      <c r="P406" s="51" t="e">
        <f ca="1">SUM(P407:P420)</f>
        <v>#REF!</v>
      </c>
      <c r="Q406" s="38">
        <f>AVERAGE(Q407:Q420)</f>
        <v>3</v>
      </c>
      <c r="R406" s="8"/>
      <c r="S406" s="8"/>
      <c r="T406" s="8"/>
    </row>
    <row r="407" spans="1:20" s="56" customFormat="1" hidden="1" outlineLevel="4">
      <c r="A407" s="43">
        <v>0</v>
      </c>
      <c r="B407" s="41" t="s">
        <v>24</v>
      </c>
      <c r="C407" s="41" t="s">
        <v>37</v>
      </c>
      <c r="D407" s="25" t="str">
        <f t="shared" si="324"/>
        <v></v>
      </c>
      <c r="E407" s="42" t="s">
        <v>37</v>
      </c>
      <c r="F407" s="43">
        <v>480</v>
      </c>
      <c r="G407" s="28">
        <f>H405</f>
        <v>45213.000000000036</v>
      </c>
      <c r="H407" s="28">
        <f t="shared" si="283"/>
        <v>45213.333333333372</v>
      </c>
      <c r="I407" s="29"/>
      <c r="J407" s="30"/>
      <c r="K407" s="31"/>
      <c r="L407" s="32"/>
      <c r="M407" s="31"/>
      <c r="N407" s="33"/>
      <c r="O407" s="51" cm="1">
        <f t="array" aca="1" ref="O407" ca="1">IF(K407="SI",IF(N407&lt;&gt;0,(INDIRECT(M407)*N407)/L407,0),0)</f>
        <v>0</v>
      </c>
      <c r="P407" s="51" cm="1">
        <f t="array" aca="1" ref="P407" ca="1">IF(N407&lt;&gt;0,(INDIRECT(M407)*N407)/L407,0)</f>
        <v>0</v>
      </c>
      <c r="Q407" s="38">
        <v>3</v>
      </c>
      <c r="R407" s="8"/>
      <c r="S407" s="8"/>
      <c r="T407" s="8"/>
    </row>
    <row r="408" spans="1:20" s="56" customFormat="1" hidden="1" outlineLevel="4">
      <c r="A408" s="43">
        <v>0</v>
      </c>
      <c r="B408" s="41" t="s">
        <v>71</v>
      </c>
      <c r="C408" s="41" t="s">
        <v>75</v>
      </c>
      <c r="D408" s="25" t="str">
        <f t="shared" ref="D408:D529" si="325">IFERROR(VLOOKUP(C408,Todos,2,FALSE),"")</f>
        <v></v>
      </c>
      <c r="E408" s="42" t="s">
        <v>75</v>
      </c>
      <c r="F408" s="43">
        <v>60</v>
      </c>
      <c r="G408" s="28">
        <f>H407</f>
        <v>45213.333333333372</v>
      </c>
      <c r="H408" s="28">
        <f t="shared" si="283"/>
        <v>45213.375000000036</v>
      </c>
      <c r="I408" s="29" t="s">
        <v>255</v>
      </c>
      <c r="J408" s="30"/>
      <c r="K408" s="31" t="s">
        <v>27</v>
      </c>
      <c r="L408" s="32">
        <v>1</v>
      </c>
      <c r="M408" s="31" t="s">
        <v>508</v>
      </c>
      <c r="N408" s="33">
        <v>0</v>
      </c>
      <c r="O408" s="51" cm="1">
        <f t="array" aca="1" ref="O408" ca="1">IF(K408="SI",IF(N408&lt;&gt;0,(INDIRECT(M408)*N408)/L408,0),0)</f>
        <v>0</v>
      </c>
      <c r="P408" s="51" cm="1">
        <f t="array" aca="1" ref="P408" ca="1">IF(N408&lt;&gt;0,(INDIRECT(M408)*N408)/L408,0)</f>
        <v>0</v>
      </c>
      <c r="Q408" s="38">
        <v>3</v>
      </c>
      <c r="R408" s="8"/>
      <c r="S408" s="8"/>
      <c r="T408" s="8"/>
    </row>
    <row r="409" spans="1:20" s="56" customFormat="1" hidden="1" outlineLevel="4">
      <c r="A409" s="43">
        <v>0</v>
      </c>
      <c r="B409" s="41" t="s">
        <v>38</v>
      </c>
      <c r="C409" s="41" t="s">
        <v>253</v>
      </c>
      <c r="D409" s="25" t="str">
        <f t="shared" ref="D409:D530" si="326">IFERROR(VLOOKUP(C409,Todos,2,FALSE),"")</f>
        <v></v>
      </c>
      <c r="E409" s="42" t="s">
        <v>547</v>
      </c>
      <c r="F409" s="43">
        <v>60</v>
      </c>
      <c r="G409" s="28">
        <f t="shared" ref="G409:G420" si="327">H408</f>
        <v>45213.375000000036</v>
      </c>
      <c r="H409" s="28">
        <f t="shared" si="283"/>
        <v>45213.416666666701</v>
      </c>
      <c r="I409" s="29" t="s">
        <v>255</v>
      </c>
      <c r="J409" s="30"/>
      <c r="K409" s="31" t="s">
        <v>27</v>
      </c>
      <c r="L409" s="32">
        <v>1</v>
      </c>
      <c r="M409" s="31" t="s">
        <v>508</v>
      </c>
      <c r="N409" s="33">
        <v>0</v>
      </c>
      <c r="O409" s="51" cm="1">
        <f t="array" aca="1" ref="O409" ca="1">IF(K409="SI",IF(N409&lt;&gt;0,(INDIRECT(M409)*N409)/L409,0),0)</f>
        <v>0</v>
      </c>
      <c r="P409" s="51" cm="1">
        <f t="array" aca="1" ref="P409" ca="1">IF(N409&lt;&gt;0,(INDIRECT(M409)*N409)/L409,0)</f>
        <v>0</v>
      </c>
      <c r="Q409" s="38">
        <v>3</v>
      </c>
      <c r="R409" s="8"/>
      <c r="S409" s="8"/>
      <c r="T409" s="8"/>
    </row>
    <row r="410" spans="1:20" s="56" customFormat="1" hidden="1" outlineLevel="4">
      <c r="A410" s="43">
        <v>0</v>
      </c>
      <c r="B410" s="41" t="s">
        <v>62</v>
      </c>
      <c r="C410" s="41" t="s">
        <v>440</v>
      </c>
      <c r="D410" s="25" t="str">
        <f t="shared" ref="D410:D531" si="328">IFERROR(VLOOKUP(C410,Todos,2,FALSE),"")</f>
        <v></v>
      </c>
      <c r="E410" s="42" t="s">
        <v>548</v>
      </c>
      <c r="F410" s="43">
        <v>120</v>
      </c>
      <c r="G410" s="28">
        <f t="shared" si="327"/>
        <v>45213.416666666701</v>
      </c>
      <c r="H410" s="28">
        <f t="shared" si="283"/>
        <v>45213.500000000036</v>
      </c>
      <c r="I410" s="29" t="s">
        <v>88</v>
      </c>
      <c r="J410" s="30"/>
      <c r="K410" s="31" t="s">
        <v>27</v>
      </c>
      <c r="L410" s="32">
        <v>1</v>
      </c>
      <c r="M410" s="31" t="s">
        <v>508</v>
      </c>
      <c r="N410" s="33">
        <v>0</v>
      </c>
      <c r="O410" s="51" cm="1">
        <f t="array" aca="1" ref="O410" ca="1">IF(K410="SI",IF(N410&lt;&gt;0,(INDIRECT(M410)*N410)/L410,0),0)</f>
        <v>0</v>
      </c>
      <c r="P410" s="51" cm="1">
        <f t="array" aca="1" ref="P410" ca="1">IF(N410&lt;&gt;0,(INDIRECT(M410)*N410)/L410,0)</f>
        <v>0</v>
      </c>
      <c r="Q410" s="38">
        <v>3</v>
      </c>
      <c r="R410" s="8"/>
      <c r="S410" s="8"/>
      <c r="T410" s="8"/>
    </row>
    <row r="411" spans="1:20" s="56" customFormat="1" hidden="1" outlineLevel="4">
      <c r="A411" s="43">
        <v>0</v>
      </c>
      <c r="B411" s="41" t="s">
        <v>71</v>
      </c>
      <c r="C411" s="41" t="s">
        <v>95</v>
      </c>
      <c r="D411" s="25" t="str">
        <f t="shared" ref="D411:D532" si="329">IFERROR(VLOOKUP(C411,Todos,2,FALSE),"")</f>
        <v></v>
      </c>
      <c r="E411" s="42" t="s">
        <v>549</v>
      </c>
      <c r="F411" s="43">
        <v>60</v>
      </c>
      <c r="G411" s="28">
        <f t="shared" si="327"/>
        <v>45213.500000000036</v>
      </c>
      <c r="H411" s="28">
        <f t="shared" si="283"/>
        <v>45213.541666666701</v>
      </c>
      <c r="I411" s="29" t="s">
        <v>550</v>
      </c>
      <c r="J411" s="30"/>
      <c r="K411" s="31" t="s">
        <v>58</v>
      </c>
      <c r="L411" s="32">
        <v>1</v>
      </c>
      <c r="M411" s="31" t="s">
        <v>508</v>
      </c>
      <c r="N411" s="33">
        <v>120</v>
      </c>
      <c r="O411" s="51" cm="1">
        <f t="array" aca="1" ref="O411" ca="1">IF(K411="SI",IF(N411&lt;&gt;0,(INDIRECT(M411)*N411)/L411,0),0)</f>
        <v>0</v>
      </c>
      <c r="P411" s="51" t="e" cm="1">
        <f t="array" aca="1" ref="P411" ca="1">IF(N411&lt;&gt;0,(INDIRECT(M411)*N411)/L411,0)</f>
        <v>#REF!</v>
      </c>
      <c r="Q411" s="38">
        <v>3</v>
      </c>
      <c r="R411" s="8"/>
      <c r="S411" s="8"/>
      <c r="T411" s="8"/>
    </row>
    <row r="412" spans="1:20" s="56" customFormat="1" hidden="1" outlineLevel="4">
      <c r="A412" s="43">
        <v>0</v>
      </c>
      <c r="B412" s="41" t="s">
        <v>38</v>
      </c>
      <c r="C412" s="41" t="s">
        <v>253</v>
      </c>
      <c r="D412" s="25" t="str">
        <f t="shared" ref="D412:D533" si="330">IFERROR(VLOOKUP(C412,Todos,2,FALSE),"")</f>
        <v></v>
      </c>
      <c r="E412" s="42" t="s">
        <v>551</v>
      </c>
      <c r="F412" s="43">
        <v>180</v>
      </c>
      <c r="G412" s="28">
        <f t="shared" si="327"/>
        <v>45213.541666666701</v>
      </c>
      <c r="H412" s="28">
        <f t="shared" si="283"/>
        <v>45213.666666666701</v>
      </c>
      <c r="I412" s="29" t="s">
        <v>255</v>
      </c>
      <c r="J412" s="30"/>
      <c r="K412" s="31" t="s">
        <v>27</v>
      </c>
      <c r="L412" s="32">
        <v>1</v>
      </c>
      <c r="M412" s="31" t="s">
        <v>508</v>
      </c>
      <c r="N412" s="33">
        <v>0</v>
      </c>
      <c r="O412" s="51" cm="1">
        <f t="array" aca="1" ref="O412" ca="1">IF(K412="SI",IF(N412&lt;&gt;0,(INDIRECT(M412)*N412)/L412,0),0)</f>
        <v>0</v>
      </c>
      <c r="P412" s="51" cm="1">
        <f t="array" aca="1" ref="P412" ca="1">IF(N412&lt;&gt;0,(INDIRECT(M412)*N412)/L412,0)</f>
        <v>0</v>
      </c>
      <c r="Q412" s="38">
        <v>3</v>
      </c>
      <c r="R412" s="8"/>
      <c r="S412" s="8"/>
      <c r="T412" s="8"/>
    </row>
    <row r="413" spans="1:20" s="56" customFormat="1" hidden="1" outlineLevel="4">
      <c r="A413" s="43">
        <v>0</v>
      </c>
      <c r="B413" s="41" t="s">
        <v>62</v>
      </c>
      <c r="C413" s="41" t="s">
        <v>135</v>
      </c>
      <c r="D413" s="25" t="str">
        <f t="shared" ref="D413:D534" si="331">IFERROR(VLOOKUP(C413,Todos,2,FALSE),"")</f>
        <v></v>
      </c>
      <c r="E413" s="42" t="s">
        <v>552</v>
      </c>
      <c r="F413" s="43">
        <v>30</v>
      </c>
      <c r="G413" s="28">
        <f t="shared" si="327"/>
        <v>45213.666666666701</v>
      </c>
      <c r="H413" s="28">
        <f t="shared" si="283"/>
        <v>45213.687500000036</v>
      </c>
      <c r="I413" s="29" t="s">
        <v>88</v>
      </c>
      <c r="J413" s="30"/>
      <c r="K413" s="31" t="s">
        <v>27</v>
      </c>
      <c r="L413" s="32">
        <v>1</v>
      </c>
      <c r="M413" s="31" t="s">
        <v>508</v>
      </c>
      <c r="N413" s="33">
        <v>0</v>
      </c>
      <c r="O413" s="51" cm="1">
        <f t="array" aca="1" ref="O413" ca="1">IF(K413="SI",IF(N413&lt;&gt;0,(INDIRECT(M413)*N413)/L413,0),0)</f>
        <v>0</v>
      </c>
      <c r="P413" s="51" cm="1">
        <f t="array" aca="1" ref="P413" ca="1">IF(N413&lt;&gt;0,(INDIRECT(M413)*N413)/L413,0)</f>
        <v>0</v>
      </c>
      <c r="Q413" s="38">
        <v>3</v>
      </c>
      <c r="R413" s="8"/>
      <c r="S413" s="8"/>
      <c r="T413" s="8"/>
    </row>
    <row r="414" spans="1:20" s="56" customFormat="1" hidden="1" outlineLevel="4">
      <c r="A414" s="43">
        <v>0</v>
      </c>
      <c r="B414" s="41" t="s">
        <v>38</v>
      </c>
      <c r="C414" s="41" t="s">
        <v>253</v>
      </c>
      <c r="D414" s="25" t="str">
        <f t="shared" ref="D414:D535" si="332">IFERROR(VLOOKUP(C414,Todos,2,FALSE),"")</f>
        <v></v>
      </c>
      <c r="E414" s="42" t="s">
        <v>553</v>
      </c>
      <c r="F414" s="43">
        <v>40</v>
      </c>
      <c r="G414" s="28">
        <f t="shared" si="327"/>
        <v>45213.687500000036</v>
      </c>
      <c r="H414" s="28">
        <f t="shared" si="283"/>
        <v>45213.715277777817</v>
      </c>
      <c r="I414" s="29" t="s">
        <v>255</v>
      </c>
      <c r="J414" s="30"/>
      <c r="K414" s="31" t="s">
        <v>27</v>
      </c>
      <c r="L414" s="32">
        <v>1</v>
      </c>
      <c r="M414" s="31" t="s">
        <v>508</v>
      </c>
      <c r="N414" s="33">
        <v>0</v>
      </c>
      <c r="O414" s="51" cm="1">
        <f t="array" aca="1" ref="O414" ca="1">IF(K414="SI",IF(N414&lt;&gt;0,(INDIRECT(M414)*N414)/L414,0),0)</f>
        <v>0</v>
      </c>
      <c r="P414" s="51" cm="1">
        <f t="array" aca="1" ref="P414" ca="1">IF(N414&lt;&gt;0,(INDIRECT(M414)*N414)/L414,0)</f>
        <v>0</v>
      </c>
      <c r="Q414" s="38">
        <v>3</v>
      </c>
      <c r="R414" s="8"/>
      <c r="S414" s="8"/>
      <c r="T414" s="8"/>
    </row>
    <row r="415" spans="1:20" s="56" customFormat="1" hidden="1" outlineLevel="4">
      <c r="A415" s="43">
        <v>0</v>
      </c>
      <c r="B415" s="41" t="s">
        <v>62</v>
      </c>
      <c r="C415" s="41" t="s">
        <v>440</v>
      </c>
      <c r="D415" s="25" t="str">
        <f t="shared" ref="D415:D536" si="333">IFERROR(VLOOKUP(C415,Todos,2,FALSE),"")</f>
        <v></v>
      </c>
      <c r="E415" s="42" t="s">
        <v>554</v>
      </c>
      <c r="F415" s="43">
        <v>10</v>
      </c>
      <c r="G415" s="28">
        <f t="shared" si="327"/>
        <v>45213.715277777817</v>
      </c>
      <c r="H415" s="28">
        <f t="shared" si="283"/>
        <v>45213.722222222263</v>
      </c>
      <c r="I415" s="29" t="s">
        <v>88</v>
      </c>
      <c r="J415" s="30"/>
      <c r="K415" s="31" t="s">
        <v>27</v>
      </c>
      <c r="L415" s="32">
        <v>1</v>
      </c>
      <c r="M415" s="31" t="s">
        <v>508</v>
      </c>
      <c r="N415" s="33">
        <v>0</v>
      </c>
      <c r="O415" s="51" cm="1">
        <f t="array" aca="1" ref="O415" ca="1">IF(K415="SI",IF(N415&lt;&gt;0,(INDIRECT(M415)*N415)/L415,0),0)</f>
        <v>0</v>
      </c>
      <c r="P415" s="51" cm="1">
        <f t="array" aca="1" ref="P415" ca="1">IF(N415&lt;&gt;0,(INDIRECT(M415)*N415)/L415,0)</f>
        <v>0</v>
      </c>
      <c r="Q415" s="38">
        <v>3</v>
      </c>
      <c r="R415" s="8"/>
      <c r="S415" s="8"/>
      <c r="T415" s="8"/>
    </row>
    <row r="416" spans="1:20" s="56" customFormat="1" hidden="1" outlineLevel="4">
      <c r="A416" s="43">
        <v>0</v>
      </c>
      <c r="B416" s="41" t="s">
        <v>38</v>
      </c>
      <c r="C416" s="41" t="s">
        <v>555</v>
      </c>
      <c r="D416" s="25" t="str">
        <f t="shared" ref="D416:D537" si="334">IFERROR(VLOOKUP(C416,Todos,2,FALSE),"")</f>
        <v></v>
      </c>
      <c r="E416" s="42" t="s">
        <v>556</v>
      </c>
      <c r="F416" s="43">
        <v>90</v>
      </c>
      <c r="G416" s="28">
        <f t="shared" si="327"/>
        <v>45213.722222222263</v>
      </c>
      <c r="H416" s="28">
        <f t="shared" si="283"/>
        <v>45213.784722222263</v>
      </c>
      <c r="I416" s="29" t="s">
        <v>557</v>
      </c>
      <c r="J416" s="30"/>
      <c r="K416" s="31" t="s">
        <v>27</v>
      </c>
      <c r="L416" s="32">
        <v>1</v>
      </c>
      <c r="M416" s="31" t="s">
        <v>508</v>
      </c>
      <c r="N416" s="33">
        <v>0</v>
      </c>
      <c r="O416" s="51" cm="1">
        <f t="array" aca="1" ref="O416" ca="1">IF(K416="SI",IF(N416&lt;&gt;0,(INDIRECT(M416)*N416)/L416,0),0)</f>
        <v>0</v>
      </c>
      <c r="P416" s="51" cm="1">
        <f t="array" aca="1" ref="P416" ca="1">IF(N416&lt;&gt;0,(INDIRECT(M416)*N416)/L416,0)</f>
        <v>0</v>
      </c>
      <c r="Q416" s="38">
        <v>3</v>
      </c>
      <c r="R416" s="8"/>
      <c r="S416" s="8"/>
      <c r="T416" s="8"/>
    </row>
    <row r="417" spans="1:20" s="56" customFormat="1" hidden="1" outlineLevel="4">
      <c r="A417" s="43">
        <v>0</v>
      </c>
      <c r="B417" s="41" t="s">
        <v>62</v>
      </c>
      <c r="C417" s="41" t="s">
        <v>558</v>
      </c>
      <c r="D417" s="25" t="str">
        <f t="shared" ref="D417:D538" si="335">IFERROR(VLOOKUP(C417,Todos,2,FALSE),"")</f>
        <v></v>
      </c>
      <c r="E417" s="42" t="s">
        <v>559</v>
      </c>
      <c r="F417" s="43">
        <v>10</v>
      </c>
      <c r="G417" s="28">
        <f t="shared" si="327"/>
        <v>45213.784722222263</v>
      </c>
      <c r="H417" s="28">
        <f t="shared" si="283"/>
        <v>45213.791666666708</v>
      </c>
      <c r="I417" s="29" t="s">
        <v>88</v>
      </c>
      <c r="J417" s="30"/>
      <c r="K417" s="31" t="s">
        <v>27</v>
      </c>
      <c r="L417" s="32">
        <v>1</v>
      </c>
      <c r="M417" s="31" t="s">
        <v>508</v>
      </c>
      <c r="N417" s="33">
        <v>0</v>
      </c>
      <c r="O417" s="51" cm="1">
        <f t="array" aca="1" ref="O417" ca="1">IF(K417="SI",IF(N417&lt;&gt;0,(INDIRECT(M417)*N417)/L417,0),0)</f>
        <v>0</v>
      </c>
      <c r="P417" s="51" cm="1">
        <f t="array" aca="1" ref="P417" ca="1">IF(N417&lt;&gt;0,(INDIRECT(M417)*N417)/L417,0)</f>
        <v>0</v>
      </c>
      <c r="Q417" s="38">
        <v>3</v>
      </c>
      <c r="R417" s="8"/>
      <c r="S417" s="8"/>
      <c r="T417" s="8"/>
    </row>
    <row r="418" spans="1:20" s="56" customFormat="1" hidden="1" outlineLevel="4">
      <c r="A418" s="43">
        <v>0</v>
      </c>
      <c r="B418" s="41" t="s">
        <v>71</v>
      </c>
      <c r="C418" s="41" t="s">
        <v>72</v>
      </c>
      <c r="D418" s="25" t="str">
        <f t="shared" ref="D418:D539" si="336">IFERROR(VLOOKUP(C418,Todos,2,FALSE),"")</f>
        <v></v>
      </c>
      <c r="E418" s="42" t="s">
        <v>72</v>
      </c>
      <c r="F418" s="43">
        <v>60</v>
      </c>
      <c r="G418" s="28">
        <f t="shared" si="327"/>
        <v>45213.791666666708</v>
      </c>
      <c r="H418" s="28">
        <f t="shared" si="283"/>
        <v>45213.833333333372</v>
      </c>
      <c r="I418" s="29" t="s">
        <v>255</v>
      </c>
      <c r="J418" s="30"/>
      <c r="K418" s="31" t="s">
        <v>27</v>
      </c>
      <c r="L418" s="32">
        <v>1</v>
      </c>
      <c r="M418" s="31" t="s">
        <v>508</v>
      </c>
      <c r="N418" s="33">
        <v>0</v>
      </c>
      <c r="O418" s="51" cm="1">
        <f t="array" aca="1" ref="O418" ca="1">IF(K418="SI",IF(N418&lt;&gt;0,(INDIRECT(M418)*N418)/L418,0),0)</f>
        <v>0</v>
      </c>
      <c r="P418" s="51" cm="1">
        <f t="array" aca="1" ref="P418" ca="1">IF(N418&lt;&gt;0,(INDIRECT(M418)*N418)/L418,0)</f>
        <v>0</v>
      </c>
      <c r="Q418" s="38">
        <v>3</v>
      </c>
      <c r="R418" s="8"/>
      <c r="S418" s="8"/>
      <c r="T418" s="8"/>
    </row>
    <row r="419" spans="1:20" s="56" customFormat="1" hidden="1" outlineLevel="4">
      <c r="A419" s="43">
        <v>0</v>
      </c>
      <c r="B419" s="41" t="s">
        <v>24</v>
      </c>
      <c r="C419" s="41" t="s">
        <v>35</v>
      </c>
      <c r="D419" s="25" t="str">
        <f t="shared" ref="D419:D540" si="337">IFERROR(VLOOKUP(C419,Todos,2,FALSE),"")</f>
        <v></v>
      </c>
      <c r="E419" s="42" t="s">
        <v>560</v>
      </c>
      <c r="F419" s="43">
        <v>120</v>
      </c>
      <c r="G419" s="28">
        <f t="shared" si="327"/>
        <v>45213.833333333372</v>
      </c>
      <c r="H419" s="28">
        <f t="shared" si="283"/>
        <v>45213.916666666708</v>
      </c>
      <c r="I419" s="29"/>
      <c r="J419" s="30"/>
      <c r="K419" s="31"/>
      <c r="L419" s="32"/>
      <c r="M419" s="31"/>
      <c r="N419" s="33"/>
      <c r="O419" s="51" cm="1">
        <f t="array" aca="1" ref="O419" ca="1">IF(K419="SI",IF(N419&lt;&gt;0,(INDIRECT(M419)*N419)/L419,0),0)</f>
        <v>0</v>
      </c>
      <c r="P419" s="51" cm="1">
        <f t="array" aca="1" ref="P419" ca="1">IF(N419&lt;&gt;0,(INDIRECT(M419)*N419)/L419,0)</f>
        <v>0</v>
      </c>
      <c r="Q419" s="38">
        <v>3</v>
      </c>
      <c r="R419" s="8"/>
      <c r="S419" s="8"/>
      <c r="T419" s="8"/>
    </row>
    <row r="420" spans="1:20" s="56" customFormat="1" hidden="1" outlineLevel="4">
      <c r="A420" s="43">
        <v>0</v>
      </c>
      <c r="B420" s="41" t="s">
        <v>24</v>
      </c>
      <c r="C420" s="41" t="s">
        <v>37</v>
      </c>
      <c r="D420" s="25" t="str">
        <f t="shared" ref="D420:D541" si="338">IFERROR(VLOOKUP(C420,Todos,2,FALSE),"")</f>
        <v></v>
      </c>
      <c r="E420" s="42" t="s">
        <v>37</v>
      </c>
      <c r="F420" s="43">
        <v>120</v>
      </c>
      <c r="G420" s="28">
        <f t="shared" si="327"/>
        <v>45213.916666666708</v>
      </c>
      <c r="H420" s="28">
        <f t="shared" si="283"/>
        <v>45214.000000000044</v>
      </c>
      <c r="I420" s="29"/>
      <c r="J420" s="30"/>
      <c r="K420" s="31"/>
      <c r="L420" s="32"/>
      <c r="M420" s="31"/>
      <c r="N420" s="33"/>
      <c r="O420" s="51" cm="1">
        <f t="array" aca="1" ref="O420" ca="1">IF(K420="SI",IF(N420&lt;&gt;0,(INDIRECT(M420)*N420)/L420,0),0)</f>
        <v>0</v>
      </c>
      <c r="P420" s="51" cm="1">
        <f t="array" aca="1" ref="P420" ca="1">IF(N420&lt;&gt;0,(INDIRECT(M420)*N420)/L420,0)</f>
        <v>0</v>
      </c>
      <c r="Q420" s="38">
        <v>3</v>
      </c>
      <c r="R420" s="8"/>
      <c r="S420" s="8"/>
      <c r="T420" s="8"/>
    </row>
    <row r="421" spans="1:20" s="56" customFormat="1" hidden="1" outlineLevel="3">
      <c r="A421" s="43">
        <v>0</v>
      </c>
      <c r="B421" s="41" t="s">
        <v>15</v>
      </c>
      <c r="C421" s="41" t="s">
        <v>22</v>
      </c>
      <c r="D421" s="25" t="str">
        <f t="shared" ref="D421:D542" si="339">IFERROR(VLOOKUP(C421,Todos,2,FALSE),"")</f>
        <v></v>
      </c>
      <c r="E421" s="55" t="s">
        <v>561</v>
      </c>
      <c r="F421" s="43">
        <f>SUM(F422:F432)</f>
        <v>1440</v>
      </c>
      <c r="G421" s="28">
        <f>H420</f>
        <v>45214.000000000044</v>
      </c>
      <c r="H421" s="28">
        <f t="shared" si="283"/>
        <v>45215.000000000044</v>
      </c>
      <c r="I421" s="29" t="str">
        <f>PROPER(TEXT(G421,"dddd"))</f>
        <v>Domingo</v>
      </c>
      <c r="J421" s="30">
        <f>SUM(J422:J432)</f>
        <v>0</v>
      </c>
      <c r="K421" s="31"/>
      <c r="L421" s="32"/>
      <c r="M421" s="31"/>
      <c r="N421" s="33"/>
      <c r="O421" s="51">
        <f ca="1">SUM(O422:O432)</f>
        <v>0</v>
      </c>
      <c r="P421" s="51" t="e">
        <f ca="1">SUM(P422:P432)</f>
        <v>#REF!</v>
      </c>
      <c r="Q421" s="38">
        <f>AVERAGE(Q422:Q432)</f>
        <v>3</v>
      </c>
      <c r="R421" s="8"/>
      <c r="S421" s="8"/>
      <c r="T421" s="8"/>
    </row>
    <row r="422" spans="1:20" s="56" customFormat="1" hidden="1" outlineLevel="4">
      <c r="A422" s="43">
        <v>0</v>
      </c>
      <c r="B422" s="41" t="s">
        <v>24</v>
      </c>
      <c r="C422" s="41" t="s">
        <v>37</v>
      </c>
      <c r="D422" s="25" t="str">
        <f t="shared" si="339"/>
        <v></v>
      </c>
      <c r="E422" s="42" t="s">
        <v>37</v>
      </c>
      <c r="F422" s="43">
        <v>330</v>
      </c>
      <c r="G422" s="28">
        <f>H420</f>
        <v>45214.000000000044</v>
      </c>
      <c r="H422" s="28">
        <f t="shared" si="283"/>
        <v>45214.229166666708</v>
      </c>
      <c r="I422" s="29"/>
      <c r="J422" s="30"/>
      <c r="K422" s="31"/>
      <c r="L422" s="32"/>
      <c r="M422" s="31"/>
      <c r="N422" s="33"/>
      <c r="O422" s="51" cm="1">
        <f t="array" aca="1" ref="O422" ca="1">IF(K422="SI",IF(N422&lt;&gt;0,(INDIRECT(M422)*N422)/L422,0),0)</f>
        <v>0</v>
      </c>
      <c r="P422" s="51" cm="1">
        <f t="array" aca="1" ref="P422" ca="1">IF(N422&lt;&gt;0,(INDIRECT(M422)*N422)/L422,0)</f>
        <v>0</v>
      </c>
      <c r="Q422" s="38">
        <v>3</v>
      </c>
      <c r="R422" s="8"/>
      <c r="S422" s="8"/>
      <c r="T422" s="8"/>
    </row>
    <row r="423" spans="1:20" s="56" customFormat="1" hidden="1" outlineLevel="4">
      <c r="A423" s="43">
        <v>0</v>
      </c>
      <c r="B423" s="41" t="s">
        <v>71</v>
      </c>
      <c r="C423" s="41" t="s">
        <v>75</v>
      </c>
      <c r="D423" s="25" t="str">
        <f t="shared" ref="D423:D544" si="340">IFERROR(VLOOKUP(C423,Todos,2,FALSE),"")</f>
        <v></v>
      </c>
      <c r="E423" s="42" t="s">
        <v>75</v>
      </c>
      <c r="F423" s="43">
        <v>60</v>
      </c>
      <c r="G423" s="28">
        <f>H422</f>
        <v>45214.229166666708</v>
      </c>
      <c r="H423" s="28">
        <f t="shared" si="283"/>
        <v>45214.270833333372</v>
      </c>
      <c r="I423" s="29" t="s">
        <v>255</v>
      </c>
      <c r="J423" s="30"/>
      <c r="K423" s="31" t="s">
        <v>27</v>
      </c>
      <c r="L423" s="32">
        <v>1</v>
      </c>
      <c r="M423" s="31" t="s">
        <v>508</v>
      </c>
      <c r="N423" s="33">
        <v>0</v>
      </c>
      <c r="O423" s="51" cm="1">
        <f t="array" aca="1" ref="O423" ca="1">IF(K423="SI",IF(N423&lt;&gt;0,(INDIRECT(M423)*N423)/L423,0),0)</f>
        <v>0</v>
      </c>
      <c r="P423" s="51" cm="1">
        <f t="array" aca="1" ref="P423" ca="1">IF(N423&lt;&gt;0,(INDIRECT(M423)*N423)/L423,0)</f>
        <v>0</v>
      </c>
      <c r="Q423" s="38">
        <v>3</v>
      </c>
      <c r="R423" s="8"/>
      <c r="S423" s="8"/>
      <c r="T423" s="8"/>
    </row>
    <row r="424" spans="1:20" s="56" customFormat="1" hidden="1" outlineLevel="4">
      <c r="A424" s="43">
        <v>0</v>
      </c>
      <c r="B424" s="41" t="s">
        <v>38</v>
      </c>
      <c r="C424" s="41" t="s">
        <v>555</v>
      </c>
      <c r="D424" s="25" t="str">
        <f t="shared" ref="D424:D545" si="341">IFERROR(VLOOKUP(C424,Todos,2,FALSE),"")</f>
        <v></v>
      </c>
      <c r="E424" s="42" t="s">
        <v>562</v>
      </c>
      <c r="F424" s="43">
        <v>90</v>
      </c>
      <c r="G424" s="28">
        <f t="shared" ref="G424:G432" si="342">H423</f>
        <v>45214.270833333372</v>
      </c>
      <c r="H424" s="28">
        <f t="shared" si="283"/>
        <v>45214.333333333372</v>
      </c>
      <c r="I424" s="29" t="s">
        <v>563</v>
      </c>
      <c r="J424" s="30"/>
      <c r="K424" s="31" t="s">
        <v>27</v>
      </c>
      <c r="L424" s="32">
        <v>1</v>
      </c>
      <c r="M424" s="31" t="s">
        <v>508</v>
      </c>
      <c r="N424" s="33">
        <v>0</v>
      </c>
      <c r="O424" s="51" cm="1">
        <f t="array" aca="1" ref="O424" ca="1">IF(K424="SI",IF(N424&lt;&gt;0,(INDIRECT(M424)*N424)/L424,0),0)</f>
        <v>0</v>
      </c>
      <c r="P424" s="51" cm="1">
        <f t="array" aca="1" ref="P424" ca="1">IF(N424&lt;&gt;0,(INDIRECT(M424)*N424)/L424,0)</f>
        <v>0</v>
      </c>
      <c r="Q424" s="38">
        <v>3</v>
      </c>
      <c r="R424" s="8"/>
      <c r="S424" s="8"/>
      <c r="T424" s="8"/>
    </row>
    <row r="425" spans="1:20" s="56" customFormat="1" hidden="1" outlineLevel="4">
      <c r="A425" s="43">
        <v>0</v>
      </c>
      <c r="B425" s="41" t="s">
        <v>38</v>
      </c>
      <c r="C425" s="41" t="s">
        <v>253</v>
      </c>
      <c r="D425" s="25" t="str">
        <f t="shared" ref="D425:D546" si="343">IFERROR(VLOOKUP(C425,Todos,2,FALSE),"")</f>
        <v></v>
      </c>
      <c r="E425" s="42" t="s">
        <v>564</v>
      </c>
      <c r="F425" s="43">
        <v>300</v>
      </c>
      <c r="G425" s="28">
        <f t="shared" si="342"/>
        <v>45214.333333333372</v>
      </c>
      <c r="H425" s="28">
        <f t="shared" ref="H425:H450" si="344">G425+(F425/24)/60</f>
        <v>45214.541666666708</v>
      </c>
      <c r="I425" s="29" t="s">
        <v>255</v>
      </c>
      <c r="J425" s="30"/>
      <c r="K425" s="31" t="s">
        <v>27</v>
      </c>
      <c r="L425" s="32">
        <v>1</v>
      </c>
      <c r="M425" s="31" t="s">
        <v>508</v>
      </c>
      <c r="N425" s="33">
        <v>0</v>
      </c>
      <c r="O425" s="51" cm="1">
        <f t="array" aca="1" ref="O425" ca="1">IF(K425="SI",IF(N425&lt;&gt;0,(INDIRECT(M425)*N425)/L425,0),0)</f>
        <v>0</v>
      </c>
      <c r="P425" s="51" cm="1">
        <f t="array" aca="1" ref="P425" ca="1">IF(N425&lt;&gt;0,(INDIRECT(M425)*N425)/L425,0)</f>
        <v>0</v>
      </c>
      <c r="Q425" s="38">
        <v>3</v>
      </c>
      <c r="R425" s="8"/>
      <c r="S425" s="8"/>
      <c r="T425" s="8"/>
    </row>
    <row r="426" spans="1:20" s="56" customFormat="1" hidden="1" outlineLevel="4">
      <c r="A426" s="43">
        <v>0</v>
      </c>
      <c r="B426" s="41" t="s">
        <v>62</v>
      </c>
      <c r="C426" s="41" t="s">
        <v>440</v>
      </c>
      <c r="D426" s="25" t="str">
        <f t="shared" ref="D426:D547" si="345">IFERROR(VLOOKUP(C426,Todos,2,FALSE),"")</f>
        <v></v>
      </c>
      <c r="E426" s="42" t="s">
        <v>565</v>
      </c>
      <c r="F426" s="43">
        <v>60</v>
      </c>
      <c r="G426" s="28">
        <f t="shared" si="342"/>
        <v>45214.541666666708</v>
      </c>
      <c r="H426" s="28">
        <f t="shared" si="344"/>
        <v>45214.583333333372</v>
      </c>
      <c r="I426" s="29" t="s">
        <v>88</v>
      </c>
      <c r="J426" s="30"/>
      <c r="K426" s="31" t="s">
        <v>27</v>
      </c>
      <c r="L426" s="32">
        <v>1</v>
      </c>
      <c r="M426" s="31" t="s">
        <v>508</v>
      </c>
      <c r="N426" s="33">
        <v>0</v>
      </c>
      <c r="O426" s="51" cm="1">
        <f t="array" aca="1" ref="O426" ca="1">IF(K426="SI",IF(N426&lt;&gt;0,(INDIRECT(M426)*N426)/L426,0),0)</f>
        <v>0</v>
      </c>
      <c r="P426" s="51" cm="1">
        <f t="array" aca="1" ref="P426" ca="1">IF(N426&lt;&gt;0,(INDIRECT(M426)*N426)/L426,0)</f>
        <v>0</v>
      </c>
      <c r="Q426" s="38">
        <v>3</v>
      </c>
      <c r="R426" s="8"/>
      <c r="S426" s="8"/>
      <c r="T426" s="8"/>
    </row>
    <row r="427" spans="1:20" s="56" customFormat="1" hidden="1" outlineLevel="4">
      <c r="A427" s="43">
        <v>0</v>
      </c>
      <c r="B427" s="41" t="s">
        <v>71</v>
      </c>
      <c r="C427" s="41" t="s">
        <v>95</v>
      </c>
      <c r="D427" s="25" t="str">
        <f t="shared" ref="D427:D548" si="346">IFERROR(VLOOKUP(C427,Todos,2,FALSE),"")</f>
        <v></v>
      </c>
      <c r="E427" s="42" t="s">
        <v>566</v>
      </c>
      <c r="F427" s="43">
        <v>60</v>
      </c>
      <c r="G427" s="28">
        <f t="shared" si="342"/>
        <v>45214.583333333372</v>
      </c>
      <c r="H427" s="28">
        <f t="shared" si="344"/>
        <v>45214.625000000036</v>
      </c>
      <c r="I427" s="29" t="s">
        <v>567</v>
      </c>
      <c r="J427" s="30"/>
      <c r="K427" s="31" t="s">
        <v>58</v>
      </c>
      <c r="L427" s="32">
        <v>1</v>
      </c>
      <c r="M427" s="31" t="s">
        <v>508</v>
      </c>
      <c r="N427" s="33">
        <v>120</v>
      </c>
      <c r="O427" s="51" cm="1">
        <f t="array" aca="1" ref="O427" ca="1">IF(K427="SI",IF(N427&lt;&gt;0,(INDIRECT(M427)*N427)/L427,0),0)</f>
        <v>0</v>
      </c>
      <c r="P427" s="51" t="e" cm="1">
        <f t="array" aca="1" ref="P427" ca="1">IF(N427&lt;&gt;0,(INDIRECT(M427)*N427)/L427,0)</f>
        <v>#REF!</v>
      </c>
      <c r="Q427" s="38">
        <v>3</v>
      </c>
      <c r="R427" s="8"/>
      <c r="S427" s="8"/>
      <c r="T427" s="8"/>
    </row>
    <row r="428" spans="1:20" s="56" customFormat="1" hidden="1" outlineLevel="4">
      <c r="A428" s="43">
        <v>0</v>
      </c>
      <c r="B428" s="41" t="s">
        <v>38</v>
      </c>
      <c r="C428" s="41" t="s">
        <v>253</v>
      </c>
      <c r="D428" s="25" t="str">
        <f t="shared" ref="D428:D549" si="347">IFERROR(VLOOKUP(C428,Todos,2,FALSE),"")</f>
        <v></v>
      </c>
      <c r="E428" s="42" t="s">
        <v>568</v>
      </c>
      <c r="F428" s="43">
        <v>280</v>
      </c>
      <c r="G428" s="28">
        <f t="shared" si="342"/>
        <v>45214.625000000036</v>
      </c>
      <c r="H428" s="28">
        <f t="shared" si="344"/>
        <v>45214.819444444482</v>
      </c>
      <c r="I428" s="29" t="s">
        <v>255</v>
      </c>
      <c r="J428" s="30"/>
      <c r="K428" s="31" t="s">
        <v>27</v>
      </c>
      <c r="L428" s="32">
        <v>1</v>
      </c>
      <c r="M428" s="31" t="s">
        <v>508</v>
      </c>
      <c r="N428" s="33">
        <v>0</v>
      </c>
      <c r="O428" s="51" cm="1">
        <f t="array" aca="1" ref="O428" ca="1">IF(K428="SI",IF(N428&lt;&gt;0,(INDIRECT(M428)*N428)/L428,0),0)</f>
        <v>0</v>
      </c>
      <c r="P428" s="51" cm="1">
        <f t="array" aca="1" ref="P428" ca="1">IF(N428&lt;&gt;0,(INDIRECT(M428)*N428)/L428,0)</f>
        <v>0</v>
      </c>
      <c r="Q428" s="38">
        <v>3</v>
      </c>
      <c r="R428" s="8"/>
      <c r="S428" s="8"/>
      <c r="T428" s="8"/>
    </row>
    <row r="429" spans="1:20" s="56" customFormat="1" ht="31.5" hidden="1" outlineLevel="4">
      <c r="A429" s="43">
        <v>0</v>
      </c>
      <c r="B429" s="41" t="s">
        <v>62</v>
      </c>
      <c r="C429" s="41" t="s">
        <v>63</v>
      </c>
      <c r="D429" s="25" t="str">
        <f t="shared" ref="D429:D550" si="348">IFERROR(VLOOKUP(C429,Todos,2,FALSE),"")</f>
        <v></v>
      </c>
      <c r="E429" s="42" t="s">
        <v>569</v>
      </c>
      <c r="F429" s="43">
        <v>20</v>
      </c>
      <c r="G429" s="28">
        <f t="shared" si="342"/>
        <v>45214.819444444482</v>
      </c>
      <c r="H429" s="28">
        <f t="shared" si="344"/>
        <v>45214.833333333372</v>
      </c>
      <c r="I429" s="29" t="s">
        <v>570</v>
      </c>
      <c r="J429" s="30"/>
      <c r="K429" s="31" t="s">
        <v>58</v>
      </c>
      <c r="L429" s="32">
        <v>3</v>
      </c>
      <c r="M429" s="31" t="s">
        <v>205</v>
      </c>
      <c r="N429" s="33">
        <f>91.2</f>
        <v>91.2</v>
      </c>
      <c r="O429" s="51" cm="1">
        <f t="array" aca="1" ref="O429" ca="1">IF(K429="SI",IF(N429&lt;&gt;0,(INDIRECT(M429)*N429)/L429,0),0)</f>
        <v>0</v>
      </c>
      <c r="P429" s="51" t="e" cm="1">
        <f t="array" aca="1" ref="P429" ca="1">IF(N429&lt;&gt;0,(INDIRECT(M429)*N429)/L429,0)</f>
        <v>#REF!</v>
      </c>
      <c r="Q429" s="38">
        <v>3</v>
      </c>
      <c r="R429" s="8"/>
      <c r="S429" s="8"/>
      <c r="T429" s="8"/>
    </row>
    <row r="430" spans="1:20" s="56" customFormat="1" hidden="1" outlineLevel="4">
      <c r="A430" s="43">
        <v>1</v>
      </c>
      <c r="B430" s="41" t="s">
        <v>24</v>
      </c>
      <c r="C430" s="41" t="s">
        <v>25</v>
      </c>
      <c r="D430" s="25" t="str">
        <f t="shared" ref="D430:D551" si="349">IFERROR(VLOOKUP(C430,Todos,2,FALSE),"")</f>
        <v></v>
      </c>
      <c r="E430" s="42" t="s">
        <v>571</v>
      </c>
      <c r="F430" s="43">
        <v>0</v>
      </c>
      <c r="G430" s="28">
        <f t="shared" si="342"/>
        <v>45214.833333333372</v>
      </c>
      <c r="H430" s="28">
        <f t="shared" si="344"/>
        <v>45214.833333333372</v>
      </c>
      <c r="I430" s="29" t="s">
        <v>572</v>
      </c>
      <c r="J430" s="30"/>
      <c r="K430" s="31"/>
      <c r="L430" s="32"/>
      <c r="M430" s="31"/>
      <c r="N430" s="33"/>
      <c r="O430" s="51" cm="1">
        <f t="array" aca="1" ref="O430" ca="1">IF(K430="SI",IF(N430&lt;&gt;0,(INDIRECT(M430)*N430)/L430,0),0)</f>
        <v>0</v>
      </c>
      <c r="P430" s="51" cm="1">
        <f t="array" aca="1" ref="P430" ca="1">IF(N430&lt;&gt;0,(INDIRECT(M430)*N430)/L430,0)</f>
        <v>0</v>
      </c>
      <c r="Q430" s="38">
        <v>3</v>
      </c>
      <c r="R430" s="8"/>
      <c r="S430" s="8"/>
      <c r="T430" s="8"/>
    </row>
    <row r="431" spans="1:20" s="56" customFormat="1" hidden="1" outlineLevel="4">
      <c r="A431" s="43">
        <v>0</v>
      </c>
      <c r="B431" s="41" t="s">
        <v>71</v>
      </c>
      <c r="C431" s="41" t="s">
        <v>72</v>
      </c>
      <c r="D431" s="25" t="str">
        <f t="shared" ref="D431:D552" si="350">IFERROR(VLOOKUP(C431,Todos,2,FALSE),"")</f>
        <v></v>
      </c>
      <c r="E431" s="42" t="s">
        <v>573</v>
      </c>
      <c r="F431" s="43">
        <v>60</v>
      </c>
      <c r="G431" s="28">
        <f t="shared" si="342"/>
        <v>45214.833333333372</v>
      </c>
      <c r="H431" s="28">
        <f t="shared" si="344"/>
        <v>45214.875000000036</v>
      </c>
      <c r="I431" s="29" t="s">
        <v>574</v>
      </c>
      <c r="J431" s="30"/>
      <c r="K431" s="31" t="s">
        <v>58</v>
      </c>
      <c r="L431" s="32">
        <v>1</v>
      </c>
      <c r="M431" s="31" t="s">
        <v>508</v>
      </c>
      <c r="N431" s="33">
        <v>150</v>
      </c>
      <c r="O431" s="51" cm="1">
        <f t="array" aca="1" ref="O431" ca="1">IF(K431="SI",IF(N431&lt;&gt;0,(INDIRECT(M431)*N431)/L431,0),0)</f>
        <v>0</v>
      </c>
      <c r="P431" s="51" t="e" cm="1">
        <f t="array" aca="1" ref="P431" ca="1">IF(N431&lt;&gt;0,(INDIRECT(M431)*N431)/L431,0)</f>
        <v>#REF!</v>
      </c>
      <c r="Q431" s="38">
        <v>3</v>
      </c>
      <c r="R431" s="8"/>
      <c r="S431" s="8"/>
      <c r="T431" s="8"/>
    </row>
    <row r="432" spans="1:20" s="56" customFormat="1" hidden="1" outlineLevel="4">
      <c r="A432" s="43">
        <v>0</v>
      </c>
      <c r="B432" s="41" t="s">
        <v>24</v>
      </c>
      <c r="C432" s="41" t="s">
        <v>37</v>
      </c>
      <c r="D432" s="25" t="str">
        <f t="shared" ref="D432:D553" si="351">IFERROR(VLOOKUP(C432,Todos,2,FALSE),"")</f>
        <v></v>
      </c>
      <c r="E432" s="42" t="s">
        <v>37</v>
      </c>
      <c r="F432" s="43">
        <v>180</v>
      </c>
      <c r="G432" s="28">
        <f t="shared" si="342"/>
        <v>45214.875000000036</v>
      </c>
      <c r="H432" s="28">
        <f t="shared" si="344"/>
        <v>45215.000000000036</v>
      </c>
      <c r="I432" s="29"/>
      <c r="J432" s="30"/>
      <c r="K432" s="31"/>
      <c r="L432" s="32"/>
      <c r="M432" s="31"/>
      <c r="N432" s="33"/>
      <c r="O432" s="51" cm="1">
        <f t="array" aca="1" ref="O432" ca="1">IF(K432="SI",IF(N432&lt;&gt;0,(INDIRECT(M432)*N432)/L432,0),0)</f>
        <v>0</v>
      </c>
      <c r="P432" s="51" cm="1">
        <f t="array" aca="1" ref="P432" ca="1">IF(N432&lt;&gt;0,(INDIRECT(M432)*N432)/L432,0)</f>
        <v>0</v>
      </c>
      <c r="Q432" s="38">
        <v>3</v>
      </c>
      <c r="R432" s="8"/>
      <c r="S432" s="8"/>
      <c r="T432" s="8"/>
    </row>
    <row r="433" spans="1:20" s="56" customFormat="1" hidden="1" outlineLevel="3">
      <c r="A433" s="43">
        <v>0</v>
      </c>
      <c r="B433" s="41" t="s">
        <v>15</v>
      </c>
      <c r="C433" s="41" t="s">
        <v>22</v>
      </c>
      <c r="D433" s="25" t="str">
        <f t="shared" ref="D433:D554" si="352">IFERROR(VLOOKUP(C433,Todos,2,FALSE),"")</f>
        <v></v>
      </c>
      <c r="E433" s="55" t="s">
        <v>575</v>
      </c>
      <c r="F433" s="43">
        <f>SUM(F434:F446)</f>
        <v>1105</v>
      </c>
      <c r="G433" s="28">
        <f>H432</f>
        <v>45215.000000000036</v>
      </c>
      <c r="H433" s="28">
        <f t="shared" si="344"/>
        <v>45215.767361111146</v>
      </c>
      <c r="I433" s="29" t="str">
        <f>PROPER(TEXT(G433,"dddd"))</f>
        <v>Lunes</v>
      </c>
      <c r="J433" s="30">
        <f>SUM(J434:J446)</f>
        <v>6.95</v>
      </c>
      <c r="K433" s="31"/>
      <c r="L433" s="32"/>
      <c r="M433" s="31"/>
      <c r="N433" s="33"/>
      <c r="O433" s="49">
        <f ca="1">SUM(O434:O446)</f>
        <v>0</v>
      </c>
      <c r="P433" s="49" t="e">
        <f ca="1">SUM(P434:P446)</f>
        <v>#REF!</v>
      </c>
      <c r="Q433" s="38">
        <f>AVERAGE(Q434:Q446)</f>
        <v>3</v>
      </c>
      <c r="R433" s="8"/>
      <c r="S433" s="8"/>
      <c r="T433" s="8"/>
    </row>
    <row r="434" spans="1:20" s="56" customFormat="1" hidden="1" outlineLevel="4">
      <c r="A434" s="43">
        <v>0</v>
      </c>
      <c r="B434" s="41" t="s">
        <v>24</v>
      </c>
      <c r="C434" s="41" t="s">
        <v>37</v>
      </c>
      <c r="D434" s="25" t="str">
        <f t="shared" si="352"/>
        <v></v>
      </c>
      <c r="E434" s="42" t="s">
        <v>37</v>
      </c>
      <c r="F434" s="43">
        <v>480</v>
      </c>
      <c r="G434" s="28">
        <f>H432</f>
        <v>45215.000000000036</v>
      </c>
      <c r="H434" s="28">
        <f t="shared" si="344"/>
        <v>45215.333333333372</v>
      </c>
      <c r="I434" s="29"/>
      <c r="J434" s="30"/>
      <c r="K434" s="31"/>
      <c r="L434" s="32"/>
      <c r="M434" s="31"/>
      <c r="N434" s="33"/>
      <c r="O434" s="51" cm="1">
        <f t="array" aca="1" ref="O434" ca="1">IF(K434="SI",IF(N434&lt;&gt;0,(INDIRECT(M434)*N434)/L434,0),0)</f>
        <v>0</v>
      </c>
      <c r="P434" s="51" cm="1">
        <f t="array" aca="1" ref="P434" ca="1">IF(N434&lt;&gt;0,(INDIRECT(M434)*N434)/L434,0)</f>
        <v>0</v>
      </c>
      <c r="Q434" s="38">
        <v>3</v>
      </c>
      <c r="R434" s="8"/>
      <c r="S434" s="8"/>
      <c r="T434" s="8"/>
    </row>
    <row r="435" spans="1:20" s="56" customFormat="1" hidden="1" outlineLevel="4">
      <c r="A435" s="43">
        <v>0</v>
      </c>
      <c r="B435" s="41" t="s">
        <v>71</v>
      </c>
      <c r="C435" s="41" t="s">
        <v>75</v>
      </c>
      <c r="D435" s="25" t="str">
        <f t="shared" ref="D435:D556" si="353">IFERROR(VLOOKUP(C435,Todos,2,FALSE),"")</f>
        <v></v>
      </c>
      <c r="E435" s="42" t="s">
        <v>75</v>
      </c>
      <c r="F435" s="43">
        <v>70</v>
      </c>
      <c r="G435" s="28">
        <f>H434</f>
        <v>45215.333333333372</v>
      </c>
      <c r="H435" s="28">
        <f t="shared" si="344"/>
        <v>45215.381944444482</v>
      </c>
      <c r="I435" s="29" t="s">
        <v>76</v>
      </c>
      <c r="J435" s="30"/>
      <c r="K435" s="31" t="s">
        <v>27</v>
      </c>
      <c r="L435" s="32">
        <v>1</v>
      </c>
      <c r="M435" s="31" t="s">
        <v>508</v>
      </c>
      <c r="N435" s="33">
        <v>0</v>
      </c>
      <c r="O435" s="51" cm="1">
        <f t="array" aca="1" ref="O435" ca="1">IF(K435="SI",IF(N435&lt;&gt;0,(INDIRECT(M435)*N435)/L435,0),0)</f>
        <v>0</v>
      </c>
      <c r="P435" s="51" cm="1">
        <f t="array" aca="1" ref="P435" ca="1">IF(N435&lt;&gt;0,(INDIRECT(M435)*N435)/L435,0)</f>
        <v>0</v>
      </c>
      <c r="Q435" s="38">
        <v>3</v>
      </c>
      <c r="R435" s="8"/>
      <c r="S435" s="8"/>
      <c r="T435" s="8"/>
    </row>
    <row r="436" spans="1:20" s="56" customFormat="1" hidden="1" outlineLevel="4">
      <c r="A436" s="43">
        <v>0</v>
      </c>
      <c r="B436" s="41" t="s">
        <v>38</v>
      </c>
      <c r="C436" s="41" t="s">
        <v>60</v>
      </c>
      <c r="D436" s="25" t="str">
        <f t="shared" ref="D436:D557" si="354">IFERROR(VLOOKUP(C436,Todos,2,FALSE),"")</f>
        <v></v>
      </c>
      <c r="E436" s="42" t="s">
        <v>576</v>
      </c>
      <c r="F436" s="43">
        <v>20</v>
      </c>
      <c r="G436" s="28">
        <f t="shared" ref="G436:G446" si="355">H435</f>
        <v>45215.381944444482</v>
      </c>
      <c r="H436" s="28">
        <f t="shared" si="344"/>
        <v>45215.395833333372</v>
      </c>
      <c r="I436" s="29"/>
      <c r="J436" s="30">
        <v>1</v>
      </c>
      <c r="K436" s="31"/>
      <c r="L436" s="32"/>
      <c r="M436" s="31"/>
      <c r="N436" s="33"/>
      <c r="O436" s="51" cm="1">
        <f t="array" aca="1" ref="O436" ca="1">IF(K436="SI",IF(N436&lt;&gt;0,(INDIRECT(M436)*N436)/L436,0),0)</f>
        <v>0</v>
      </c>
      <c r="P436" s="51" cm="1">
        <f t="array" aca="1" ref="P436" ca="1">IF(N436&lt;&gt;0,(INDIRECT(M436)*N436)/L436,0)</f>
        <v>0</v>
      </c>
      <c r="Q436" s="38">
        <v>3</v>
      </c>
      <c r="R436" s="8"/>
      <c r="S436" s="8"/>
      <c r="T436" s="8"/>
    </row>
    <row r="437" spans="1:20" s="56" customFormat="1" ht="52.5" hidden="1" outlineLevel="4">
      <c r="A437" s="43">
        <v>0</v>
      </c>
      <c r="B437" s="41" t="s">
        <v>24</v>
      </c>
      <c r="C437" s="41" t="s">
        <v>83</v>
      </c>
      <c r="D437" s="25" t="str">
        <f t="shared" ref="D437:D558" si="356">IFERROR(VLOOKUP(C437,Todos,2,FALSE),"")</f>
        <v></v>
      </c>
      <c r="E437" s="42" t="s">
        <v>577</v>
      </c>
      <c r="F437" s="43">
        <v>240</v>
      </c>
      <c r="G437" s="28">
        <f t="shared" si="355"/>
        <v>45215.395833333372</v>
      </c>
      <c r="H437" s="28">
        <f t="shared" si="344"/>
        <v>45215.562500000036</v>
      </c>
      <c r="I437" s="29" t="s">
        <v>578</v>
      </c>
      <c r="J437" s="30">
        <v>5</v>
      </c>
      <c r="K437" s="31" t="s">
        <v>58</v>
      </c>
      <c r="L437" s="32">
        <v>1</v>
      </c>
      <c r="M437" s="31" t="s">
        <v>508</v>
      </c>
      <c r="N437" s="33">
        <v>50</v>
      </c>
      <c r="O437" s="51" cm="1">
        <f t="array" aca="1" ref="O437" ca="1">IF(K437="SI",IF(N437&lt;&gt;0,(INDIRECT(M437)*N437)/L437,0),0)</f>
        <v>0</v>
      </c>
      <c r="P437" s="51" t="e" cm="1">
        <f t="array" aca="1" ref="P437" ca="1">IF(N437&lt;&gt;0,(INDIRECT(M437)*N437)/L437,0)</f>
        <v>#REF!</v>
      </c>
      <c r="Q437" s="38">
        <v>3</v>
      </c>
      <c r="R437" s="8"/>
      <c r="S437" s="8"/>
      <c r="T437" s="8"/>
    </row>
    <row r="438" spans="1:20" s="56" customFormat="1" hidden="1" outlineLevel="4">
      <c r="A438" s="43">
        <v>0</v>
      </c>
      <c r="B438" s="41" t="s">
        <v>62</v>
      </c>
      <c r="C438" s="41" t="s">
        <v>119</v>
      </c>
      <c r="D438" s="25" t="str">
        <f t="shared" ref="D438:D559" si="357">IFERROR(VLOOKUP(C438,Todos,2,FALSE),"")</f>
        <v></v>
      </c>
      <c r="E438" s="42" t="s">
        <v>579</v>
      </c>
      <c r="F438" s="43">
        <v>0</v>
      </c>
      <c r="G438" s="28">
        <f t="shared" si="355"/>
        <v>45215.562500000036</v>
      </c>
      <c r="H438" s="28">
        <f t="shared" si="344"/>
        <v>45215.562500000036</v>
      </c>
      <c r="I438" s="29" t="s">
        <v>580</v>
      </c>
      <c r="J438" s="30"/>
      <c r="K438" s="31" t="s">
        <v>27</v>
      </c>
      <c r="L438" s="32">
        <v>1</v>
      </c>
      <c r="M438" s="31" t="s">
        <v>508</v>
      </c>
      <c r="N438" s="33">
        <v>0</v>
      </c>
      <c r="O438" s="51" cm="1">
        <f t="array" aca="1" ref="O438" ca="1">IF(K438="SI",IF(N438&lt;&gt;0,(INDIRECT(M438)*N438)/L438,0),0)</f>
        <v>0</v>
      </c>
      <c r="P438" s="51" cm="1">
        <f t="array" aca="1" ref="P438" ca="1">IF(N438&lt;&gt;0,(INDIRECT(M438)*N438)/L438,0)</f>
        <v>0</v>
      </c>
      <c r="Q438" s="38">
        <v>3</v>
      </c>
      <c r="R438" s="8"/>
      <c r="S438" s="8"/>
      <c r="T438" s="8"/>
    </row>
    <row r="439" spans="1:20" s="56" customFormat="1" hidden="1" outlineLevel="4">
      <c r="A439" s="43">
        <v>0</v>
      </c>
      <c r="B439" s="41" t="s">
        <v>62</v>
      </c>
      <c r="C439" s="41" t="s">
        <v>89</v>
      </c>
      <c r="D439" s="25" t="str">
        <f t="shared" ref="D439:D560" si="358">IFERROR(VLOOKUP(C439,Todos,2,FALSE),"")</f>
        <v></v>
      </c>
      <c r="E439" s="42" t="s">
        <v>581</v>
      </c>
      <c r="F439" s="43">
        <v>0</v>
      </c>
      <c r="G439" s="28">
        <f t="shared" si="355"/>
        <v>45215.562500000036</v>
      </c>
      <c r="H439" s="28">
        <f t="shared" si="344"/>
        <v>45215.562500000036</v>
      </c>
      <c r="I439" s="29" t="s">
        <v>582</v>
      </c>
      <c r="J439" s="30"/>
      <c r="K439" s="31" t="s">
        <v>27</v>
      </c>
      <c r="L439" s="32">
        <v>1</v>
      </c>
      <c r="M439" s="31" t="s">
        <v>508</v>
      </c>
      <c r="N439" s="33">
        <v>0</v>
      </c>
      <c r="O439" s="51" cm="1">
        <f t="array" aca="1" ref="O439" ca="1">IF(K439="SI",IF(N439&lt;&gt;0,(INDIRECT(M439)*N439)/L439,0),0)</f>
        <v>0</v>
      </c>
      <c r="P439" s="51" cm="1">
        <f t="array" aca="1" ref="P439" ca="1">IF(N439&lt;&gt;0,(INDIRECT(M439)*N439)/L439,0)</f>
        <v>0</v>
      </c>
      <c r="Q439" s="38">
        <v>3</v>
      </c>
      <c r="R439" s="8"/>
      <c r="S439" s="8"/>
      <c r="T439" s="8"/>
    </row>
    <row r="440" spans="1:20" s="56" customFormat="1" hidden="1" outlineLevel="4">
      <c r="A440" s="43">
        <v>0</v>
      </c>
      <c r="B440" s="41" t="s">
        <v>62</v>
      </c>
      <c r="C440" s="41" t="s">
        <v>89</v>
      </c>
      <c r="D440" s="25" t="str">
        <f t="shared" ref="D440:D561" si="359">IFERROR(VLOOKUP(C440,Todos,2,FALSE),"")</f>
        <v></v>
      </c>
      <c r="E440" s="42" t="s">
        <v>583</v>
      </c>
      <c r="F440" s="43">
        <v>0</v>
      </c>
      <c r="G440" s="28">
        <f t="shared" si="355"/>
        <v>45215.562500000036</v>
      </c>
      <c r="H440" s="28">
        <f t="shared" si="344"/>
        <v>45215.562500000036</v>
      </c>
      <c r="I440" s="29" t="s">
        <v>584</v>
      </c>
      <c r="J440" s="30"/>
      <c r="K440" s="31" t="s">
        <v>27</v>
      </c>
      <c r="L440" s="32">
        <v>1</v>
      </c>
      <c r="M440" s="31" t="s">
        <v>508</v>
      </c>
      <c r="N440" s="33">
        <v>0</v>
      </c>
      <c r="O440" s="51" cm="1">
        <f t="array" aca="1" ref="O440" ca="1">IF(K440="SI",IF(N440&lt;&gt;0,(INDIRECT(M440)*N440)/L440,0),0)</f>
        <v>0</v>
      </c>
      <c r="P440" s="51" cm="1">
        <f t="array" aca="1" ref="P440" ca="1">IF(N440&lt;&gt;0,(INDIRECT(M440)*N440)/L440,0)</f>
        <v>0</v>
      </c>
      <c r="Q440" s="38">
        <v>3</v>
      </c>
      <c r="R440" s="8"/>
      <c r="S440" s="8"/>
      <c r="T440" s="8"/>
    </row>
    <row r="441" spans="1:20" s="56" customFormat="1" hidden="1" outlineLevel="4">
      <c r="A441" s="43">
        <v>0</v>
      </c>
      <c r="B441" s="41" t="s">
        <v>62</v>
      </c>
      <c r="C441" s="41" t="s">
        <v>80</v>
      </c>
      <c r="D441" s="25" t="str">
        <f t="shared" ref="D441:D562" si="360">IFERROR(VLOOKUP(C441,Todos,2,FALSE),"")</f>
        <v></v>
      </c>
      <c r="E441" s="42" t="s">
        <v>585</v>
      </c>
      <c r="F441" s="43">
        <v>0</v>
      </c>
      <c r="G441" s="28">
        <f t="shared" si="355"/>
        <v>45215.562500000036</v>
      </c>
      <c r="H441" s="28">
        <f t="shared" si="344"/>
        <v>45215.562500000036</v>
      </c>
      <c r="I441" s="29" t="s">
        <v>586</v>
      </c>
      <c r="J441" s="30"/>
      <c r="K441" s="31" t="s">
        <v>27</v>
      </c>
      <c r="L441" s="32">
        <v>1</v>
      </c>
      <c r="M441" s="31" t="s">
        <v>508</v>
      </c>
      <c r="N441" s="33">
        <v>0</v>
      </c>
      <c r="O441" s="51" cm="1">
        <f t="array" aca="1" ref="O441" ca="1">IF(K441="SI",IF(N441&lt;&gt;0,(INDIRECT(M441)*N441)/L441,0),0)</f>
        <v>0</v>
      </c>
      <c r="P441" s="51" cm="1">
        <f t="array" aca="1" ref="P441" ca="1">IF(N441&lt;&gt;0,(INDIRECT(M441)*N441)/L441,0)</f>
        <v>0</v>
      </c>
      <c r="Q441" s="38">
        <v>3</v>
      </c>
      <c r="R441" s="8"/>
      <c r="S441" s="8"/>
      <c r="T441" s="8"/>
    </row>
    <row r="442" spans="1:20" s="56" customFormat="1" hidden="1" outlineLevel="4">
      <c r="A442" s="43">
        <v>0</v>
      </c>
      <c r="B442" s="41" t="s">
        <v>38</v>
      </c>
      <c r="C442" s="41" t="s">
        <v>60</v>
      </c>
      <c r="D442" s="25" t="str">
        <f t="shared" ref="D442:D563" si="361">IFERROR(VLOOKUP(C442,Todos,2,FALSE),"")</f>
        <v></v>
      </c>
      <c r="E442" s="42" t="s">
        <v>587</v>
      </c>
      <c r="F442" s="43">
        <v>5</v>
      </c>
      <c r="G442" s="28">
        <f t="shared" si="355"/>
        <v>45215.562500000036</v>
      </c>
      <c r="H442" s="28">
        <f t="shared" si="344"/>
        <v>45215.565972222255</v>
      </c>
      <c r="I442" s="29"/>
      <c r="J442" s="30">
        <v>0.2</v>
      </c>
      <c r="K442" s="31"/>
      <c r="L442" s="32"/>
      <c r="M442" s="31"/>
      <c r="N442" s="33"/>
      <c r="O442" s="51" cm="1">
        <f t="array" aca="1" ref="O442" ca="1">IF(K442="SI",IF(N442&lt;&gt;0,(INDIRECT(M442)*N442)/L442,0),0)</f>
        <v>0</v>
      </c>
      <c r="P442" s="51" cm="1">
        <f t="array" aca="1" ref="P442" ca="1">IF(N442&lt;&gt;0,(INDIRECT(M442)*N442)/L442,0)</f>
        <v>0</v>
      </c>
      <c r="Q442" s="38">
        <v>3</v>
      </c>
      <c r="R442" s="8"/>
      <c r="S442" s="8"/>
      <c r="T442" s="8"/>
    </row>
    <row r="443" spans="1:20" s="56" customFormat="1" hidden="1" outlineLevel="4">
      <c r="A443" s="43">
        <v>0</v>
      </c>
      <c r="B443" s="41" t="s">
        <v>71</v>
      </c>
      <c r="C443" s="41" t="s">
        <v>95</v>
      </c>
      <c r="D443" s="25" t="str">
        <f t="shared" ref="D443:D564" si="362">IFERROR(VLOOKUP(C443,Todos,2,FALSE),"")</f>
        <v></v>
      </c>
      <c r="E443" s="42" t="s">
        <v>588</v>
      </c>
      <c r="F443" s="43">
        <v>60</v>
      </c>
      <c r="G443" s="28">
        <f t="shared" si="355"/>
        <v>45215.565972222255</v>
      </c>
      <c r="H443" s="28">
        <f t="shared" si="344"/>
        <v>45215.60763888892</v>
      </c>
      <c r="I443" s="29" t="s">
        <v>589</v>
      </c>
      <c r="J443" s="30"/>
      <c r="K443" s="31" t="s">
        <v>58</v>
      </c>
      <c r="L443" s="32">
        <v>1</v>
      </c>
      <c r="M443" s="31" t="s">
        <v>508</v>
      </c>
      <c r="N443" s="33">
        <v>200</v>
      </c>
      <c r="O443" s="51" cm="1">
        <f t="array" aca="1" ref="O443" ca="1">IF(K443="SI",IF(N443&lt;&gt;0,(INDIRECT(M443)*N443)/L443,0),0)</f>
        <v>0</v>
      </c>
      <c r="P443" s="51" t="e" cm="1">
        <f t="array" aca="1" ref="P443" ca="1">IF(N443&lt;&gt;0,(INDIRECT(M443)*N443)/L443,0)</f>
        <v>#REF!</v>
      </c>
      <c r="Q443" s="38">
        <v>3</v>
      </c>
      <c r="R443" s="8"/>
      <c r="S443" s="8"/>
      <c r="T443" s="8"/>
    </row>
    <row r="444" spans="1:20" s="56" customFormat="1" hidden="1" outlineLevel="4">
      <c r="A444" s="43">
        <v>0</v>
      </c>
      <c r="B444" s="41" t="s">
        <v>38</v>
      </c>
      <c r="C444" s="41" t="s">
        <v>60</v>
      </c>
      <c r="D444" s="25" t="str">
        <f t="shared" ref="D444:D565" si="363">IFERROR(VLOOKUP(C444,Todos,2,FALSE),"")</f>
        <v></v>
      </c>
      <c r="E444" s="42" t="s">
        <v>590</v>
      </c>
      <c r="F444" s="43">
        <v>10</v>
      </c>
      <c r="G444" s="28">
        <f t="shared" si="355"/>
        <v>45215.60763888892</v>
      </c>
      <c r="H444" s="28">
        <f t="shared" si="344"/>
        <v>45215.614583333365</v>
      </c>
      <c r="I444" s="29"/>
      <c r="J444" s="30">
        <v>0.75</v>
      </c>
      <c r="K444" s="31"/>
      <c r="L444" s="32"/>
      <c r="M444" s="31"/>
      <c r="N444" s="33"/>
      <c r="O444" s="51" cm="1">
        <f t="array" aca="1" ref="O444" ca="1">IF(K444="SI",IF(N444&lt;&gt;0,(INDIRECT(M444)*N444)/L444,0),0)</f>
        <v>0</v>
      </c>
      <c r="P444" s="51" cm="1">
        <f t="array" aca="1" ref="P444" ca="1">IF(N444&lt;&gt;0,(INDIRECT(M444)*N444)/L444,0)</f>
        <v>0</v>
      </c>
      <c r="Q444" s="38">
        <v>3</v>
      </c>
      <c r="R444" s="8"/>
      <c r="S444" s="8"/>
      <c r="T444" s="8"/>
    </row>
    <row r="445" spans="1:20" s="56" customFormat="1" hidden="1" outlineLevel="4">
      <c r="A445" s="43">
        <v>0</v>
      </c>
      <c r="B445" s="41" t="s">
        <v>38</v>
      </c>
      <c r="C445" s="41" t="s">
        <v>39</v>
      </c>
      <c r="D445" s="25" t="str">
        <f t="shared" ref="D445:D566" si="364">IFERROR(VLOOKUP(C445,Todos,2,FALSE),"")</f>
        <v></v>
      </c>
      <c r="E445" s="42" t="s">
        <v>279</v>
      </c>
      <c r="F445" s="43">
        <v>40</v>
      </c>
      <c r="G445" s="28">
        <f t="shared" si="355"/>
        <v>45215.614583333365</v>
      </c>
      <c r="H445" s="28">
        <f t="shared" si="344"/>
        <v>45215.642361111146</v>
      </c>
      <c r="I445" s="29" t="s">
        <v>591</v>
      </c>
      <c r="J445" s="30"/>
      <c r="K445" s="31" t="s">
        <v>58</v>
      </c>
      <c r="L445" s="32">
        <v>2</v>
      </c>
      <c r="M445" s="31" t="s">
        <v>205</v>
      </c>
      <c r="N445" s="33">
        <v>15.1</v>
      </c>
      <c r="O445" s="51" cm="1">
        <f t="array" aca="1" ref="O445" ca="1">IF(K445="SI",IF(N445&lt;&gt;0,(INDIRECT(M445)*N445)/L445,0),0)</f>
        <v>0</v>
      </c>
      <c r="P445" s="51" t="e" cm="1">
        <f t="array" aca="1" ref="P445" ca="1">IF(N445&lt;&gt;0,(INDIRECT(M445)*N445)/L445,0)</f>
        <v>#REF!</v>
      </c>
      <c r="Q445" s="38">
        <v>3</v>
      </c>
      <c r="R445" s="8"/>
      <c r="S445" s="8"/>
      <c r="T445" s="8"/>
    </row>
    <row r="446" spans="1:20" s="56" customFormat="1" hidden="1" outlineLevel="4">
      <c r="A446" s="43">
        <v>0</v>
      </c>
      <c r="B446" s="41" t="s">
        <v>42</v>
      </c>
      <c r="C446" s="41" t="s">
        <v>43</v>
      </c>
      <c r="D446" s="25" t="str">
        <f t="shared" ref="D446:D567" si="365">IFERROR(VLOOKUP(C446,Todos,2,FALSE),"")</f>
        <v></v>
      </c>
      <c r="E446" s="42" t="s">
        <v>592</v>
      </c>
      <c r="F446" s="43">
        <v>180</v>
      </c>
      <c r="G446" s="28">
        <f t="shared" si="355"/>
        <v>45215.642361111146</v>
      </c>
      <c r="H446" s="28">
        <f t="shared" si="344"/>
        <v>45215.767361111146</v>
      </c>
      <c r="I446" s="29" t="s">
        <v>593</v>
      </c>
      <c r="J446" s="30"/>
      <c r="K446" s="31"/>
      <c r="L446" s="32"/>
      <c r="M446" s="31"/>
      <c r="N446" s="33"/>
      <c r="O446" s="51" cm="1">
        <f t="array" aca="1" ref="O446" ca="1">IF(K446="SI",IF(N446&lt;&gt;0,(INDIRECT(M446)*N446)/L446,0),0)</f>
        <v>0</v>
      </c>
      <c r="P446" s="51" cm="1">
        <f t="array" aca="1" ref="P446" ca="1">IF(N446&lt;&gt;0,(INDIRECT(M446)*N446)/L446,0)</f>
        <v>0</v>
      </c>
      <c r="Q446" s="38">
        <v>3</v>
      </c>
      <c r="R446" s="8"/>
      <c r="S446" s="8"/>
      <c r="T446" s="8"/>
    </row>
    <row r="447" spans="1:20" s="56" customFormat="1" ht="42" hidden="1" outlineLevel="1">
      <c r="A447" s="43">
        <v>2</v>
      </c>
      <c r="B447" s="41" t="s">
        <v>38</v>
      </c>
      <c r="C447" s="41" t="s">
        <v>46</v>
      </c>
      <c r="D447" s="25" t="str">
        <f t="shared" ref="D447:D568" si="366">IFERROR(VLOOKUP(C447,Todos,2,FALSE),"")</f>
        <v></v>
      </c>
      <c r="E447" s="42" t="s">
        <v>594</v>
      </c>
      <c r="F447" s="43">
        <v>175</v>
      </c>
      <c r="G447" s="28">
        <f>H446</f>
        <v>45215.767361111146</v>
      </c>
      <c r="H447" s="28">
        <f t="shared" si="344"/>
        <v>45215.888888888927</v>
      </c>
      <c r="I447" s="29" t="s">
        <v>595</v>
      </c>
      <c r="J447" s="30"/>
      <c r="K447" s="31" t="s">
        <v>27</v>
      </c>
      <c r="L447" s="32">
        <v>2</v>
      </c>
      <c r="M447" s="31" t="s">
        <v>28</v>
      </c>
      <c r="N447" s="33">
        <v>1179000</v>
      </c>
      <c r="O447" s="51" t="e" cm="1">
        <f t="array" aca="1" ref="O447" ca="1">IF(K447="SI",IF(N447&lt;&gt;0,(INDIRECT(M447)*N447)/L447,0),0)</f>
        <v>#REF!</v>
      </c>
      <c r="P447" s="51" t="e" cm="1">
        <f t="array" aca="1" ref="P447" ca="1">IF(N447&lt;&gt;0,(INDIRECT(M447)*N447)/L447,0)</f>
        <v>#REF!</v>
      </c>
      <c r="Q447" s="38">
        <v>3</v>
      </c>
      <c r="R447" s="8"/>
      <c r="S447" s="8"/>
      <c r="T447" s="8"/>
    </row>
    <row r="448" spans="1:20" hidden="1" outlineLevel="1" collapsed="1">
      <c r="A448" s="43">
        <v>0</v>
      </c>
      <c r="B448" s="41" t="s">
        <v>15</v>
      </c>
      <c r="C448" s="41" t="s">
        <v>18</v>
      </c>
      <c r="D448" s="25" t="str">
        <f t="shared" ref="D448:D569" si="367">IFERROR(VLOOKUP(C448,Todos,2,FALSE),"")</f>
        <v></v>
      </c>
      <c r="E448" s="45" t="s">
        <v>596</v>
      </c>
      <c r="F448" s="43">
        <f>F449</f>
        <v>265</v>
      </c>
      <c r="G448" s="28">
        <f>H447</f>
        <v>45215.888888888927</v>
      </c>
      <c r="H448" s="28">
        <f t="shared" si="344"/>
        <v>45216.072916666708</v>
      </c>
      <c r="I448" s="29" t="str">
        <f>PROPER(TEXT(G448,"dddd")) &amp; " - Días Totales: " &amp; ROUND(F448/1440,0)</f>
        <v>Lunes - Días Totales: 0</v>
      </c>
      <c r="J448" s="30">
        <f>J449</f>
        <v>0</v>
      </c>
      <c r="K448" s="31"/>
      <c r="L448" s="32"/>
      <c r="M448" s="31"/>
      <c r="N448" s="33"/>
      <c r="O448" s="51">
        <f ca="1">O449</f>
        <v>0</v>
      </c>
      <c r="P448" s="51">
        <f ca="1">P449</f>
        <v>0</v>
      </c>
      <c r="Q448" s="38">
        <f>AVERAGE(Q449)</f>
        <v>3</v>
      </c>
    </row>
    <row r="449" spans="1:20" hidden="1" outlineLevel="2">
      <c r="A449" s="43">
        <v>0</v>
      </c>
      <c r="B449" s="41" t="s">
        <v>15</v>
      </c>
      <c r="C449" s="41" t="s">
        <v>20</v>
      </c>
      <c r="D449" s="25" t="str">
        <f t="shared" si="367"/>
        <v></v>
      </c>
      <c r="E449" s="42" t="s">
        <v>597</v>
      </c>
      <c r="F449" s="43">
        <f>F450+F452</f>
        <v>265</v>
      </c>
      <c r="G449" s="28">
        <f>H447</f>
        <v>45215.888888888927</v>
      </c>
      <c r="H449" s="28">
        <f t="shared" si="344"/>
        <v>45216.072916666708</v>
      </c>
      <c r="I449" s="29" t="str">
        <f>PROPER(TEXT(G449,"dddd")) &amp; " - Días Totales: " &amp; ROUND(F449/1440,0)</f>
        <v>Lunes - Días Totales: 0</v>
      </c>
      <c r="J449" s="30">
        <f>J450+J452</f>
        <v>0</v>
      </c>
      <c r="K449" s="31"/>
      <c r="L449" s="32"/>
      <c r="M449" s="31"/>
      <c r="N449" s="33"/>
      <c r="O449" s="51">
        <f ca="1">O450+O452</f>
        <v>0</v>
      </c>
      <c r="P449" s="51">
        <f ca="1">P450+P452</f>
        <v>0</v>
      </c>
      <c r="Q449" s="38">
        <f>AVERAGE(Q450,Q452)</f>
        <v>3</v>
      </c>
    </row>
    <row r="450" spans="1:20" s="56" customFormat="1" hidden="1" outlineLevel="3">
      <c r="A450" s="43">
        <v>0</v>
      </c>
      <c r="B450" s="41" t="s">
        <v>15</v>
      </c>
      <c r="C450" s="41" t="s">
        <v>22</v>
      </c>
      <c r="D450" s="25" t="str">
        <f t="shared" si="367"/>
        <v></v>
      </c>
      <c r="E450" s="55" t="s">
        <v>598</v>
      </c>
      <c r="F450" s="43">
        <f>SUM(F451:F451)</f>
        <v>160</v>
      </c>
      <c r="G450" s="28">
        <f>H447</f>
        <v>45215.888888888927</v>
      </c>
      <c r="H450" s="28">
        <f t="shared" si="344"/>
        <v>45216.000000000036</v>
      </c>
      <c r="I450" s="29" t="str">
        <f>PROPER(TEXT(G450,"dddd"))</f>
        <v>Lunes</v>
      </c>
      <c r="J450" s="30">
        <f>SUM(J451)</f>
        <v>0</v>
      </c>
      <c r="K450" s="31"/>
      <c r="L450" s="32"/>
      <c r="M450" s="31"/>
      <c r="N450" s="33"/>
      <c r="O450" s="49">
        <f>SUM(O451:O451)</f>
        <v>0</v>
      </c>
      <c r="P450" s="49">
        <f>SUM(P451:P451)</f>
        <v>0</v>
      </c>
      <c r="Q450" s="38">
        <f>AVERAGE(Q451:Q451)</f>
        <v>3</v>
      </c>
      <c r="R450" s="8"/>
      <c r="S450" s="8"/>
      <c r="T450" s="8"/>
    </row>
    <row r="451" spans="1:20" s="56" customFormat="1" hidden="1" outlineLevel="4">
      <c r="A451" s="43">
        <v>0</v>
      </c>
      <c r="B451" s="41" t="s">
        <v>42</v>
      </c>
      <c r="C451" s="41" t="s">
        <v>43</v>
      </c>
      <c r="D451" s="25" t="str">
        <f t="shared" si="367"/>
        <v></v>
      </c>
      <c r="E451" s="42" t="s">
        <v>44</v>
      </c>
      <c r="F451" s="43">
        <v>160</v>
      </c>
      <c r="G451" s="28">
        <f>H447</f>
        <v>45215.888888888927</v>
      </c>
      <c r="H451" s="28">
        <f>G451+(F451/24)/60</f>
        <v>45216.000000000036</v>
      </c>
      <c r="I451" s="29" t="s">
        <v>599</v>
      </c>
      <c r="J451" s="30"/>
      <c r="K451" s="31"/>
      <c r="L451" s="32"/>
      <c r="M451" s="31"/>
      <c r="N451" s="33"/>
      <c r="O451" s="51">
        <v>0</v>
      </c>
      <c r="P451" s="51">
        <v>0</v>
      </c>
      <c r="Q451" s="38">
        <v>3</v>
      </c>
      <c r="R451" s="8"/>
      <c r="S451" s="8"/>
      <c r="T451" s="8"/>
    </row>
    <row r="452" spans="1:20" s="56" customFormat="1" hidden="1" outlineLevel="3">
      <c r="A452" s="43">
        <v>0</v>
      </c>
      <c r="B452" s="41" t="s">
        <v>15</v>
      </c>
      <c r="C452" s="41" t="s">
        <v>22</v>
      </c>
      <c r="D452" s="25" t="str">
        <f t="shared" si="367"/>
        <v></v>
      </c>
      <c r="E452" s="55" t="s">
        <v>600</v>
      </c>
      <c r="F452" s="43">
        <f>SUM(F453:F453)</f>
        <v>105</v>
      </c>
      <c r="G452" s="28">
        <f>H451</f>
        <v>45216.000000000036</v>
      </c>
      <c r="H452" s="28">
        <f t="shared" ref="H452" si="368">G452+(F452/24)/60</f>
        <v>45216.072916666701</v>
      </c>
      <c r="I452" s="29" t="str">
        <f>PROPER(TEXT(G452,"dddd"))</f>
        <v>Martes</v>
      </c>
      <c r="J452" s="30">
        <f>SUM(J453)</f>
        <v>0</v>
      </c>
      <c r="K452" s="31"/>
      <c r="L452" s="32"/>
      <c r="M452" s="31"/>
      <c r="N452" s="33"/>
      <c r="O452" s="49">
        <f ca="1">SUM(O453:O453)</f>
        <v>0</v>
      </c>
      <c r="P452" s="49">
        <f ca="1">SUM(P453:P453)</f>
        <v>0</v>
      </c>
      <c r="Q452" s="38">
        <f>AVERAGE(Q453:Q453)</f>
        <v>3</v>
      </c>
      <c r="R452" s="8"/>
      <c r="S452" s="8"/>
      <c r="T452" s="8"/>
    </row>
    <row r="453" spans="1:20" s="56" customFormat="1" hidden="1" outlineLevel="4">
      <c r="A453" s="43">
        <v>0</v>
      </c>
      <c r="B453" s="41" t="s">
        <v>42</v>
      </c>
      <c r="C453" s="41" t="s">
        <v>601</v>
      </c>
      <c r="D453" s="25" t="str">
        <f t="shared" si="367"/>
        <v></v>
      </c>
      <c r="E453" s="42" t="s">
        <v>601</v>
      </c>
      <c r="F453" s="43">
        <v>105</v>
      </c>
      <c r="G453" s="28">
        <f>H451</f>
        <v>45216.000000000036</v>
      </c>
      <c r="H453" s="28">
        <f>G453+(F453/24)/60</f>
        <v>45216.072916666701</v>
      </c>
      <c r="I453" s="29"/>
      <c r="J453" s="30"/>
      <c r="K453" s="31"/>
      <c r="L453" s="32"/>
      <c r="M453" s="31"/>
      <c r="N453" s="33"/>
      <c r="O453" s="51" cm="1">
        <f t="array" aca="1" ref="O453" ca="1">IF(K453="SI",IF(N453&lt;&gt;0,(INDIRECT(M453)*N453)/L453,0),0)</f>
        <v>0</v>
      </c>
      <c r="P453" s="51" cm="1">
        <f t="array" aca="1" ref="P453" ca="1">IF(N453&lt;&gt;0,(INDIRECT(M453)*N453)/L453,0)</f>
        <v>0</v>
      </c>
      <c r="Q453" s="38">
        <v>3</v>
      </c>
      <c r="R453" s="8"/>
      <c r="S453" s="8"/>
      <c r="T453" s="8"/>
    </row>
    <row r="454" spans="1:20" s="56" customFormat="1" ht="42" hidden="1" outlineLevel="1">
      <c r="A454" s="43">
        <v>2</v>
      </c>
      <c r="B454" s="41" t="s">
        <v>38</v>
      </c>
      <c r="C454" s="41" t="s">
        <v>46</v>
      </c>
      <c r="D454" s="25" t="str">
        <f t="shared" ref="D454:D575" si="369">IFERROR(VLOOKUP(C454,Todos,2,FALSE),"")</f>
        <v></v>
      </c>
      <c r="E454" s="42" t="s">
        <v>602</v>
      </c>
      <c r="F454" s="43">
        <v>195</v>
      </c>
      <c r="G454" s="28">
        <f>H453</f>
        <v>45216.072916666701</v>
      </c>
      <c r="H454" s="28">
        <f t="shared" ref="H454" si="370">G454+(F454/24)/60</f>
        <v>45216.208333333365</v>
      </c>
      <c r="I454" s="29" t="s">
        <v>603</v>
      </c>
      <c r="J454" s="30"/>
      <c r="K454" s="31" t="s">
        <v>27</v>
      </c>
      <c r="L454" s="32">
        <v>2</v>
      </c>
      <c r="M454" s="31" t="s">
        <v>28</v>
      </c>
      <c r="N454" s="33">
        <f>3979600</f>
        <v>3979600</v>
      </c>
      <c r="O454" s="51" t="e" cm="1">
        <f t="array" aca="1" ref="O454" ca="1">IF(K454="SI",IF(N454&lt;&gt;0,(INDIRECT(M454)*N454)/L454,0),0)</f>
        <v>#REF!</v>
      </c>
      <c r="P454" s="51" t="e" cm="1">
        <f t="array" aca="1" ref="P454" ca="1">IF(N454&lt;&gt;0,(INDIRECT(M454)*N454)/L454,0)</f>
        <v>#REF!</v>
      </c>
      <c r="Q454" s="38">
        <v>3</v>
      </c>
      <c r="R454" s="8"/>
      <c r="S454" s="8"/>
      <c r="T454" s="8"/>
    </row>
  </sheetData>
  <autoFilter ref="A1:Q454" xr:uid="{D87C8E33-F3A4-4543-9F00-4373C0DEB427}"/>
  <mergeCells count="14">
    <mergeCell ref="R354:R361"/>
    <mergeCell ref="S354:S361"/>
    <mergeCell ref="R299:R309"/>
    <mergeCell ref="S299:S309"/>
    <mergeCell ref="R310:R319"/>
    <mergeCell ref="S310:S319"/>
    <mergeCell ref="R337:R343"/>
    <mergeCell ref="S337:S343"/>
    <mergeCell ref="R259:R269"/>
    <mergeCell ref="S259:S269"/>
    <mergeCell ref="R278:R290"/>
    <mergeCell ref="S278:S290"/>
    <mergeCell ref="R291:R298"/>
    <mergeCell ref="S291:S298"/>
  </mergeCells>
  <conditionalFormatting sqref="Q2:Q454">
    <cfRule type="iconSet" priority="2">
      <iconSet iconSet="3Symbols2" showValue="0">
        <cfvo type="percent" val="0"/>
        <cfvo type="num" val="2"/>
        <cfvo type="num" val="3"/>
      </iconSet>
    </cfRule>
  </conditionalFormatting>
  <dataValidations count="5">
    <dataValidation type="list" allowBlank="1" showInputMessage="1" showErrorMessage="1" sqref="B2:B454" xr:uid="{BF29E7EE-FE08-4BE8-9A45-D40D7EA14687}">
      <formula1>Categoria</formula1>
    </dataValidation>
    <dataValidation type="list" allowBlank="1" showInputMessage="1" showErrorMessage="1" sqref="K5:K1048576" xr:uid="{AD16AD02-4234-4F5C-89E4-5DBA7E017C23}">
      <formula1>"SI,NO"</formula1>
    </dataValidation>
    <dataValidation type="list" allowBlank="1" showInputMessage="1" showErrorMessage="1" sqref="L5:L1048576" xr:uid="{140F04AC-CB1C-4B28-8786-C9EBD65DA176}">
      <formula1>"1,2,3,4,5,6,7,8"</formula1>
    </dataValidation>
    <dataValidation type="list" allowBlank="1" showInputMessage="1" showErrorMessage="1" sqref="M1:M1048576" xr:uid="{E4ED6392-3BA0-41D4-9B49-076961D5A8F6}">
      <formula1>MONEDAS</formula1>
    </dataValidation>
    <dataValidation type="list" allowBlank="1" showInputMessage="1" showErrorMessage="1" sqref="C2:C454" xr:uid="{349F7514-8F86-482B-A91C-3F37A683D735}">
      <formula1>INDIRECT($B2)</formula1>
    </dataValidation>
  </dataValidations>
  <printOptions horizontalCentered="1"/>
  <pageMargins left="0.19685039370078741" right="0.19685039370078741" top="0.74803149606299213" bottom="0.19685039370078741" header="0" footer="0"/>
  <pageSetup scale="66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75ECD74-F64C-471A-B337-83DD8F26D132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TrafficLights" iconId="0"/>
              <x14:cfIcon iconSet="3TrafficLights1" iconId="1"/>
              <x14:cfIcon iconSet="3TrafficLights1" iconId="2"/>
              <x14:cfIcon iconSet="3TrafficLights1" iconId="0"/>
            </x14:iconSet>
          </x14:cfRule>
          <xm:sqref>A2:A454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Itinerario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Hincapie</dc:creator>
  <cp:lastModifiedBy>Jimena Hincapie</cp:lastModifiedBy>
  <dcterms:created xsi:type="dcterms:W3CDTF">2025-08-08T22:46:28Z</dcterms:created>
  <dcterms:modified xsi:type="dcterms:W3CDTF">2025-08-08T22:47:40Z</dcterms:modified>
</cp:coreProperties>
</file>